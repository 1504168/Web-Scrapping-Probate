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01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Repositories\CourtRecordSearch\"/>
    </mc:Choice>
  </mc:AlternateContent>
  <xr:revisionPtr revIDLastSave="0" documentId="13_ncr:1_{5D278DC5-8B09-4E47-BDAB-8C8332BC7B7A}" xr6:coauthVersionLast="47" xr6:coauthVersionMax="47" xr10:uidLastSave="{00000000-0000-0000-0000-000000000000}"/>
  <bookViews>
    <workbookView xWindow="-110" yWindow="-110" windowWidth="34620" windowHeight="14020" xr2:uid="{361155FD-7C3B-4245-8BBE-CCF9CEEDA799}"/>
  </bookViews>
  <sheets>
    <sheet name="Settings" sheetId="3" r:id="rId1"/>
  </sheets>
  <definedNames>
    <definedName name="ExternalData_1" localSheetId="0" hidden="1">Settings!$E$7:$AI$16</definedName>
    <definedName name="FolderPath">Settings!$C$4</definedName>
    <definedName name="FromArray_1">_xlfn.ANCHORARRAY(Settings!$C$4)</definedName>
    <definedName name="ThisWorkbookFolderPath">_xlfn.TEXTBEFORE(CELL("filename"),"[")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4" i="3" l="1" a="1"/>
  <c r="C4" i="3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9FA959A-7F6E-42B9-B62C-86DE5F803A3D}" keepAlive="1" name="Query - AllData" description="Connection to the 'AllData' query in the workbook." type="5" refreshedVersion="8" background="1" saveData="1">
    <dbPr connection="Provider=Microsoft.Mashup.OleDb.1;Data Source=$Workbook$;Location=AllData;Extended Properties=&quot;&quot;" command="SELECT * FROM [AllData]"/>
  </connection>
  <connection id="2" xr16:uid="{21B7E965-BF5D-40D3-83A4-6BA64F15E82C}" keepAlive="1" name="Query - fxGetCourtData" description="Connection to the 'fxGetCourtData' query in the workbook." type="5" refreshedVersion="8" background="1" saveData="1">
    <dbPr connection="Provider=Microsoft.Mashup.OleDb.1;Data Source=$Workbook$;Location=fxGetCourtData;Extended Properties=&quot;&quot;" command="SELECT * FROM [fxGetCourtData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<sst xmlns="http://schemas.openxmlformats.org/spreadsheetml/2006/main" count="212" uniqueCount="131">
  <si>
    <t>decedent_info.Decedent</t>
  </si>
  <si>
    <t>decedent_info.Attorney</t>
  </si>
  <si>
    <t>decedent_info.D.B.A/A.K.A</t>
  </si>
  <si>
    <t>decedent_info.Date of Death</t>
  </si>
  <si>
    <t>decedent_info.Address</t>
  </si>
  <si>
    <t>decedent_info.City/State/ZIP</t>
  </si>
  <si>
    <t>decedent_info.City</t>
  </si>
  <si>
    <t>decedent_info.State</t>
  </si>
  <si>
    <t>decedent_info.Zip</t>
  </si>
  <si>
    <t>url</t>
  </si>
  <si>
    <t>fiduciary_info.Fiduciary 1</t>
  </si>
  <si>
    <t>fiduciary_info.Fiduciary Type</t>
  </si>
  <si>
    <t>fiduciary_info.Date Appointed</t>
  </si>
  <si>
    <t>fiduciary_info.Relationship</t>
  </si>
  <si>
    <t>fiduciary_info.Notice Waiver</t>
  </si>
  <si>
    <t>fiduciary_info.Address</t>
  </si>
  <si>
    <t>fiduciary_info.Discharged</t>
  </si>
  <si>
    <t>fiduciary_info.City/State/ZIP</t>
  </si>
  <si>
    <t>fiduciary_info.City</t>
  </si>
  <si>
    <t>fiduciary_info.State</t>
  </si>
  <si>
    <t>fiduciary_info.Zip</t>
  </si>
  <si>
    <t>fiduciary_info.Telephone</t>
  </si>
  <si>
    <t>decedent_info.Filed</t>
  </si>
  <si>
    <t>decedent_info.Case Number</t>
  </si>
  <si>
    <t>decedent_info.Opened</t>
  </si>
  <si>
    <t>decedent_info.Closed</t>
  </si>
  <si>
    <t>fiduciary_info.Type</t>
  </si>
  <si>
    <t>case_number</t>
  </si>
  <si>
    <t/>
  </si>
  <si>
    <t>Oh</t>
  </si>
  <si>
    <t>EXR</t>
  </si>
  <si>
    <t>ADM</t>
  </si>
  <si>
    <t>Spouse</t>
  </si>
  <si>
    <t>Middletown, Oh 45042</t>
  </si>
  <si>
    <t>Middletown</t>
  </si>
  <si>
    <t>45042</t>
  </si>
  <si>
    <t>OH</t>
  </si>
  <si>
    <t>APP</t>
  </si>
  <si>
    <t>Franklin, OH 45005</t>
  </si>
  <si>
    <t>Franklin</t>
  </si>
  <si>
    <t>45005</t>
  </si>
  <si>
    <t>Goshen</t>
  </si>
  <si>
    <t>45122</t>
  </si>
  <si>
    <t>Goshen, OH 45122</t>
  </si>
  <si>
    <t>Cincinnati</t>
  </si>
  <si>
    <t>county</t>
  </si>
  <si>
    <t>Ohio</t>
  </si>
  <si>
    <t>10/04/2024</t>
  </si>
  <si>
    <t>Warren</t>
  </si>
  <si>
    <t>Clermont</t>
  </si>
  <si>
    <t>Folder Path</t>
  </si>
  <si>
    <t>Data Date</t>
  </si>
  <si>
    <t>fiduciary_info.Fiduciary 2</t>
  </si>
  <si>
    <t>Bolser, Stanley L.</t>
  </si>
  <si>
    <t>HEATHER L CADY</t>
  </si>
  <si>
    <t>10/18/2024</t>
  </si>
  <si>
    <t>7254 Okeana-drewersburg Rd.</t>
  </si>
  <si>
    <t>Okeana, Oh 45053</t>
  </si>
  <si>
    <t>Okeana</t>
  </si>
  <si>
    <t>45053</t>
  </si>
  <si>
    <t>Bolser, Carolyn M.</t>
  </si>
  <si>
    <t>(513) 738-1344</t>
  </si>
  <si>
    <t>10-04-2024</t>
  </si>
  <si>
    <t>Browning, Shirley Ann</t>
  </si>
  <si>
    <t>NICHOLAS D LAUDATO</t>
  </si>
  <si>
    <t>Browning, Shirley A.</t>
  </si>
  <si>
    <t>11/01/2023</t>
  </si>
  <si>
    <t>913 Brookwood Drive</t>
  </si>
  <si>
    <t>Trenton, Oh 45067</t>
  </si>
  <si>
    <t>Trenton</t>
  </si>
  <si>
    <t>45067</t>
  </si>
  <si>
    <t>Rogers, Jennifer Lee</t>
  </si>
  <si>
    <t>Son</t>
  </si>
  <si>
    <t>10083 Prreble County Line Rd</t>
  </si>
  <si>
    <t>(513) 267-5218</t>
  </si>
  <si>
    <t>Browning, Justin Eric</t>
  </si>
  <si>
    <t>Berry, Linda</t>
  </si>
  <si>
    <t>09/25/2024</t>
  </si>
  <si>
    <t>3680 McLean Road</t>
  </si>
  <si>
    <t>http://probate.co.warren.oh.us/cgi-bin/pcaseno.cgi?pre=PE&amp;num=20241615&amp;sub=&amp;type=PE&amp;caseId=</t>
  </si>
  <si>
    <t>Berry, Michael</t>
  </si>
  <si>
    <t>(513) 435-7911</t>
  </si>
  <si>
    <t>20241615</t>
  </si>
  <si>
    <t>Clifton, Richard L.</t>
  </si>
  <si>
    <t>08/02/2024</t>
  </si>
  <si>
    <t>10965 Collins-Riley Road</t>
  </si>
  <si>
    <t>Blanchester, OH 45107</t>
  </si>
  <si>
    <t>Blanchester</t>
  </si>
  <si>
    <t>45107</t>
  </si>
  <si>
    <t>http://probate.co.warren.oh.us/cgi-bin/pcaseno.cgi?pre=PE&amp;num=20241619&amp;sub=&amp;type=PE&amp;caseId=</t>
  </si>
  <si>
    <t>Reeder, Phyllis</t>
  </si>
  <si>
    <t>10/07/2024</t>
  </si>
  <si>
    <t>(513) 617-5879</t>
  </si>
  <si>
    <t>20241619</t>
  </si>
  <si>
    <t>Shouse, Charles</t>
  </si>
  <si>
    <t>11/23/2023</t>
  </si>
  <si>
    <t>9649 Staley Road</t>
  </si>
  <si>
    <t>http://probate.co.warren.oh.us/cgi-bin/pcaseno.cgi?pre=PE&amp;num=20241616&amp;sub=&amp;type=PE&amp;caseId=</t>
  </si>
  <si>
    <t>Shouse, Karen</t>
  </si>
  <si>
    <t>(937) 746-0131</t>
  </si>
  <si>
    <t>20241616</t>
  </si>
  <si>
    <t>Tennenbaum, David Nicholas</t>
  </si>
  <si>
    <t>08/03/2024</t>
  </si>
  <si>
    <t>5373 Merten Drive, Apt 7</t>
  </si>
  <si>
    <t>Mason, OH 45040</t>
  </si>
  <si>
    <t>Mason</t>
  </si>
  <si>
    <t>45040</t>
  </si>
  <si>
    <t>http://probate.co.warren.oh.us/cgi-bin/pcaseno.cgi?pre=PE&amp;num=20241617&amp;sub=&amp;type=PE&amp;caseId=</t>
  </si>
  <si>
    <t>Tennenbaum, Lisa A.</t>
  </si>
  <si>
    <t>Sister</t>
  </si>
  <si>
    <t>Cincinnati, OH 45247</t>
  </si>
  <si>
    <t>45247</t>
  </si>
  <si>
    <t>(513) 313-7819</t>
  </si>
  <si>
    <t>20241617</t>
  </si>
  <si>
    <t>Kratzer, Larry E</t>
  </si>
  <si>
    <t>2244 Siesta Drive</t>
  </si>
  <si>
    <t>Batavia, OH 45103</t>
  </si>
  <si>
    <t>Batavia</t>
  </si>
  <si>
    <t>[Record]</t>
  </si>
  <si>
    <t>Kratzer, Lisa A</t>
  </si>
  <si>
    <t>45103</t>
  </si>
  <si>
    <t>2024 ES 00588</t>
  </si>
  <si>
    <t>Peck, Catherine D</t>
  </si>
  <si>
    <t>Stanforth, Christopher M</t>
  </si>
  <si>
    <t>2024 ES 00589</t>
  </si>
  <si>
    <t>Smith, Phyllis E</t>
  </si>
  <si>
    <t>1945 State Route 28</t>
  </si>
  <si>
    <t>Smith, Bill E</t>
  </si>
  <si>
    <t>2024 ES 00591</t>
  </si>
  <si>
    <t>https://probatecourt.bcohio.gov/recordSearch.php?k=case0909poo3dBGLvv96in136aDULL1WXJ9qUvZZPgZveNAB58859487333543700337295896811931205761720664030118609688173537815814403887742064_1</t>
  </si>
  <si>
    <t>https://probatecourt.bcohio.gov/recordSearch.php?k=case0909poo3dBGLvv96in136aDULL1WXJ9qUvZZPgZveNAB60928475517631791943811838542403990125620372242444658245133604933505608654514284_2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</si>
</sst>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3"/>
      <name val="Calibri"/>
      <family val="2"/>
    </font>
    <font>
      <b/>
      <sz val="14"/>
      <color theme="3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3">
    <xf numFmtId="0" fontId="0" fillId="0" borderId="0" xfId="0"/>
    <xf numFmtId="0" fontId="0" fillId="0" borderId="1" xfId="0" applyBorder="1" applyAlignment="1">
      <alignment horizontal="center" vertical="center"/>
    </xf>
    <xf numFmtId="0" fontId="2" fillId="0" borderId="1" xfId="1" applyFont="1" applyBorder="1" applyAlignment="1">
      <alignment horizontal="center" vertical="center"/>
    </xf>
  </cellXfs>
  <cellStyles count="2">
    <cellStyle name="Heading 4" xfId="1" builtinId="19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connections" Target="connections.xml"/><Relationship Id="rId7" Type="http://schemas.openxmlformats.org/officeDocument/2006/relationships/calcChain" Target="calcChain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A9973A76-B05F-432C-8F3E-12336643EB11}" autoFormatId="16" applyNumberFormats="0" applyBorderFormats="0" applyFontFormats="0" applyPatternFormats="0" applyAlignmentFormats="0" applyWidthHeightFormats="0">
  <queryTableRefresh nextId="33">
    <queryTableFields count="31">
      <queryTableField id="1" name="decedent_info.Decedent" tableColumnId="1"/>
      <queryTableField id="2" name="decedent_info.Attorney" tableColumnId="2"/>
      <queryTableField id="3" name="decedent_info.D.B.A/A.K.A" tableColumnId="3"/>
      <queryTableField id="4" name="decedent_info.Date of Death" tableColumnId="4"/>
      <queryTableField id="5" name="decedent_info.Address" tableColumnId="5"/>
      <queryTableField id="6" name="decedent_info.City/State/ZIP" tableColumnId="6"/>
      <queryTableField id="7" name="decedent_info.City" tableColumnId="7"/>
      <queryTableField id="8" name="decedent_info.State" tableColumnId="8"/>
      <queryTableField id="9" name="decedent_info.Zip" tableColumnId="9"/>
      <queryTableField id="10" name="url" tableColumnId="10"/>
      <queryTableField id="11" name="fiduciary_info.Fiduciary 1" tableColumnId="11"/>
      <queryTableField id="12" name="fiduciary_info.Fiduciary Type" tableColumnId="12"/>
      <queryTableField id="13" name="fiduciary_info.Date Appointed" tableColumnId="13"/>
      <queryTableField id="14" name="fiduciary_info.Relationship" tableColumnId="14"/>
      <queryTableField id="15" name="fiduciary_info.Notice Waiver" tableColumnId="15"/>
      <queryTableField id="16" name="fiduciary_info.Address" tableColumnId="16"/>
      <queryTableField id="17" name="fiduciary_info.Discharged" tableColumnId="17"/>
      <queryTableField id="18" name="fiduciary_info.City/State/ZIP" tableColumnId="18"/>
      <queryTableField id="19" name="fiduciary_info.City" tableColumnId="19"/>
      <queryTableField id="20" name="fiduciary_info.State" tableColumnId="20"/>
      <queryTableField id="21" name="fiduciary_info.Zip" tableColumnId="21"/>
      <queryTableField id="22" name="fiduciary_info.Telephone" tableColumnId="22"/>
      <queryTableField id="31" name="fiduciary_info.Fiduciary 2" tableColumnId="31"/>
      <queryTableField id="23" name="county" tableColumnId="23"/>
      <queryTableField id="24" name="decedent_info.Filed" tableColumnId="24"/>
      <queryTableField id="25" name="decedent_info.Case Number" tableColumnId="25"/>
      <queryTableField id="26" name="decedent_info.Opened" tableColumnId="26"/>
      <queryTableField id="27" name="decedent_info.Closed" tableColumnId="27"/>
      <queryTableField id="28" name="fiduciary_info.Type" tableColumnId="28"/>
      <queryTableField id="29" name="case_number" tableColumnId="29"/>
      <queryTableField id="30" name="Data Date" tableColumnId="30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5583AE1-F08A-49AF-AE65-36C9F5F65D9C}" name="AllData" displayName="AllData" ref="E7:AI16" tableType="queryTable" totalsRowShown="0">
  <autoFilter ref="E7:AI16" xr:uid="{55583AE1-F08A-49AF-AE65-36C9F5F65D9C}"/>
  <tableColumns count="31">
    <tableColumn id="1" xr3:uid="{FE35685F-74C5-4D2E-BF64-3BF2F6D5EE2E}" uniqueName="1" name="decedent_info.Decedent" queryTableFieldId="1"/>
    <tableColumn id="2" xr3:uid="{68985C6C-DB5D-48B7-B7E7-A4BA0C377105}" uniqueName="2" name="decedent_info.Attorney" queryTableFieldId="2"/>
    <tableColumn id="3" xr3:uid="{D478C7F7-2835-47E0-A291-ABC249FD919E}" uniqueName="3" name="decedent_info.D.B.A/A.K.A" queryTableFieldId="3"/>
    <tableColumn id="4" xr3:uid="{EFAB49EC-C279-4E5F-8F42-AC4F02917F8A}" uniqueName="4" name="decedent_info.Date of Death" queryTableFieldId="4"/>
    <tableColumn id="5" xr3:uid="{935CC3A1-EF02-4C8F-A145-BBB9F5C6BAA7}" uniqueName="5" name="decedent_info.Address" queryTableFieldId="5"/>
    <tableColumn id="6" xr3:uid="{6DE4E73C-E3A6-42F2-A68B-4ADB63619AA6}" uniqueName="6" name="decedent_info.City/State/ZIP" queryTableFieldId="6"/>
    <tableColumn id="7" xr3:uid="{89156EF4-63B3-4E90-8A8B-89F07CC01D79}" uniqueName="7" name="decedent_info.City" queryTableFieldId="7"/>
    <tableColumn id="8" xr3:uid="{5C9EAF96-93F9-4B9D-A739-3863F82E565B}" uniqueName="8" name="decedent_info.State" queryTableFieldId="8"/>
    <tableColumn id="9" xr3:uid="{EA028EB1-1EA0-40D4-B09F-1D7249E25D45}" uniqueName="9" name="decedent_info.Zip" queryTableFieldId="9"/>
    <tableColumn id="10" xr3:uid="{9D3BD259-9801-4709-BBFB-52E9B2CACB56}" uniqueName="10" name="url" queryTableFieldId="10"/>
    <tableColumn id="11" xr3:uid="{CE99BB22-3F30-4113-91F9-AD3AF688E063}" uniqueName="11" name="fiduciary_info.Fiduciary 1" queryTableFieldId="11"/>
    <tableColumn id="12" xr3:uid="{89E568B7-08D9-4B0F-B434-A582FD79FEC1}" uniqueName="12" name="fiduciary_info.Fiduciary Type" queryTableFieldId="12"/>
    <tableColumn id="13" xr3:uid="{6A98EBDB-2826-4D77-B0C9-2B3606C26A9C}" uniqueName="13" name="fiduciary_info.Date Appointed" queryTableFieldId="13"/>
    <tableColumn id="14" xr3:uid="{822C93F0-E8AF-4CDB-8D5B-7B18C7D0CCA5}" uniqueName="14" name="fiduciary_info.Relationship" queryTableFieldId="14"/>
    <tableColumn id="15" xr3:uid="{A809E996-1917-474C-AE6E-2ED53485FA78}" uniqueName="15" name="fiduciary_info.Notice Waiver" queryTableFieldId="15"/>
    <tableColumn id="16" xr3:uid="{8671DD20-71BE-461D-A9CB-349313D80569}" uniqueName="16" name="fiduciary_info.Address" queryTableFieldId="16"/>
    <tableColumn id="17" xr3:uid="{626D363D-B5F5-46B8-A305-0C76F212839E}" uniqueName="17" name="fiduciary_info.Discharged" queryTableFieldId="17"/>
    <tableColumn id="18" xr3:uid="{40F2ACF8-918B-4382-AC6F-588A3B842FCC}" uniqueName="18" name="fiduciary_info.City/State/ZIP" queryTableFieldId="18"/>
    <tableColumn id="19" xr3:uid="{1836FECF-F7FB-45D7-B083-1FD44778E22E}" uniqueName="19" name="fiduciary_info.City" queryTableFieldId="19"/>
    <tableColumn id="20" xr3:uid="{E51891A5-B3E8-4AAF-94DD-99C39315067D}" uniqueName="20" name="fiduciary_info.State" queryTableFieldId="20"/>
    <tableColumn id="21" xr3:uid="{A5BA6A7A-7C5E-48E8-919D-C6AE074CEE2C}" uniqueName="21" name="fiduciary_info.Zip" queryTableFieldId="21"/>
    <tableColumn id="22" xr3:uid="{7362E9D0-1871-473F-8ED2-C700EB7805F8}" uniqueName="22" name="fiduciary_info.Telephone" queryTableFieldId="22"/>
    <tableColumn id="31" xr3:uid="{D0B08069-89E5-4060-82AC-60F89A6B5163}" uniqueName="31" name="fiduciary_info.Fiduciary 2" queryTableFieldId="31"/>
    <tableColumn id="23" xr3:uid="{C3791395-344A-4B16-8FCC-295EDC852BD2}" uniqueName="23" name="county" queryTableFieldId="23"/>
    <tableColumn id="24" xr3:uid="{709C55BE-F2F0-4EB5-B666-011BD1381428}" uniqueName="24" name="decedent_info.Filed" queryTableFieldId="24"/>
    <tableColumn id="25" xr3:uid="{A9141D29-C7D2-42BC-86BE-98F84CCB8906}" uniqueName="25" name="decedent_info.Case Number" queryTableFieldId="25"/>
    <tableColumn id="26" xr3:uid="{1F11ACAB-9DDF-4F59-937D-7C1BB0510BC1}" uniqueName="26" name="decedent_info.Opened" queryTableFieldId="26"/>
    <tableColumn id="27" xr3:uid="{D963E8E1-4DC2-43B0-A1FA-3FD15C4C950E}" uniqueName="27" name="decedent_info.Closed" queryTableFieldId="27"/>
    <tableColumn id="28" xr3:uid="{36E792B3-9C11-46A8-BF8E-A851DD02FBC9}" uniqueName="28" name="fiduciary_info.Type" queryTableFieldId="28"/>
    <tableColumn id="29" xr3:uid="{7EA1D493-15E9-4694-8D8C-9728F1D8671F}" uniqueName="29" name="case_number" queryTableFieldId="29"/>
    <tableColumn id="30" xr3:uid="{DBBAB795-6A64-450E-839A-5E3209DB9F64}" uniqueName="30" name="Data Date" queryTableFieldId="3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2E4562-0E77-44C2-9207-DE59739690F7}">
  <sheetPr codeName="Sheet3"/>
  <dimension ref="C3:AI16"/>
  <sheetViews>
    <sheetView showGridLines="0" tabSelected="1" workbookViewId="0">
      <selection activeCell="G9" sqref="G9"/>
    </sheetView>
  </sheetViews>
  <sheetFormatPr defaultRowHeight="14.5" x14ac:dyDescent="0.35"/>
  <cols>
    <col min="3" max="3" width="44.26953125" bestFit="1" customWidth="1"/>
    <col min="5" max="5" width="25.36328125" bestFit="1" customWidth="1"/>
    <col min="6" max="6" width="23.453125" bestFit="1" customWidth="1"/>
    <col min="7" max="7" width="26" bestFit="1" customWidth="1"/>
    <col min="8" max="8" width="27.81640625" bestFit="1" customWidth="1"/>
    <col min="9" max="9" width="26.453125" bestFit="1" customWidth="1"/>
    <col min="10" max="10" width="27.90625" bestFit="1" customWidth="1"/>
    <col min="11" max="11" width="19" bestFit="1" customWidth="1"/>
    <col min="12" max="12" width="20.26953125" bestFit="1" customWidth="1"/>
    <col min="13" max="13" width="18.36328125" bestFit="1" customWidth="1"/>
    <col min="14" max="14" width="80.7265625" bestFit="1" customWidth="1"/>
    <col min="15" max="15" width="24.26953125" bestFit="1" customWidth="1"/>
    <col min="16" max="16" width="27.26953125" bestFit="1" customWidth="1"/>
    <col min="17" max="17" width="28.7265625" bestFit="1" customWidth="1"/>
    <col min="18" max="18" width="25.7265625" bestFit="1" customWidth="1"/>
    <col min="19" max="19" width="27.08984375" bestFit="1" customWidth="1"/>
    <col min="20" max="20" width="26.453125" bestFit="1" customWidth="1"/>
    <col min="21" max="21" width="24.54296875" bestFit="1" customWidth="1"/>
    <col min="22" max="22" width="27.1796875" bestFit="1" customWidth="1"/>
    <col min="23" max="23" width="18.36328125" bestFit="1" customWidth="1"/>
    <col min="24" max="24" width="19.6328125" bestFit="1" customWidth="1"/>
    <col min="25" max="25" width="17.7265625" bestFit="1" customWidth="1"/>
    <col min="26" max="26" width="24.1796875" bestFit="1" customWidth="1"/>
    <col min="27" max="27" width="24.26953125" bestFit="1" customWidth="1"/>
    <col min="28" max="28" width="8.81640625" bestFit="1" customWidth="1"/>
    <col min="29" max="29" width="19.81640625" bestFit="1" customWidth="1"/>
    <col min="30" max="30" width="27.1796875" bestFit="1" customWidth="1"/>
    <col min="31" max="31" width="22.54296875" bestFit="1" customWidth="1"/>
    <col min="32" max="32" width="21.453125" bestFit="1" customWidth="1"/>
    <col min="33" max="33" width="19.26953125" bestFit="1" customWidth="1"/>
    <col min="34" max="34" width="14.36328125" bestFit="1" customWidth="1"/>
    <col min="35" max="35" width="11.54296875" bestFit="1" customWidth="1"/>
  </cols>
  <sheetData>
    <row r="3" spans="3:35" ht="18.5" x14ac:dyDescent="0.35">
      <c r="C3" s="2" t="s">
        <v>50</v>
      </c>
    </row>
    <row r="4" spans="3:35" x14ac:dyDescent="0.35">
      <c r="C4" s="1" t="str" cm="1">
        <f t="array" aca="1" ref="C4" ca="1">ThisWorkbookFolderPath &amp; "Extracted Data"</f>
        <v>D:\Repositories\CourtRecordSearch\Extracted Data</v>
      </c>
    </row>
    <row r="7" spans="3:35" x14ac:dyDescent="0.35">
      <c r="E7" t="s">
        <v>0</v>
      </c>
      <c r="F7" t="s">
        <v>1</v>
      </c>
      <c r="G7" t="s">
        <v>2</v>
      </c>
      <c r="H7" t="s">
        <v>3</v>
      </c>
      <c r="I7" t="s">
        <v>4</v>
      </c>
      <c r="J7" t="s">
        <v>5</v>
      </c>
      <c r="K7" t="s">
        <v>6</v>
      </c>
      <c r="L7" t="s">
        <v>7</v>
      </c>
      <c r="M7" t="s">
        <v>8</v>
      </c>
      <c r="N7" t="s">
        <v>9</v>
      </c>
      <c r="O7" t="s">
        <v>10</v>
      </c>
      <c r="P7" t="s">
        <v>11</v>
      </c>
      <c r="Q7" t="s">
        <v>12</v>
      </c>
      <c r="R7" t="s">
        <v>13</v>
      </c>
      <c r="S7" t="s">
        <v>14</v>
      </c>
      <c r="T7" t="s">
        <v>15</v>
      </c>
      <c r="U7" t="s">
        <v>16</v>
      </c>
      <c r="V7" t="s">
        <v>17</v>
      </c>
      <c r="W7" t="s">
        <v>18</v>
      </c>
      <c r="X7" t="s">
        <v>19</v>
      </c>
      <c r="Y7" t="s">
        <v>20</v>
      </c>
      <c r="Z7" t="s">
        <v>21</v>
      </c>
      <c r="AA7" t="s">
        <v>52</v>
      </c>
      <c r="AB7" t="s">
        <v>45</v>
      </c>
      <c r="AC7" t="s">
        <v>22</v>
      </c>
      <c r="AD7" t="s">
        <v>23</v>
      </c>
      <c r="AE7" t="s">
        <v>24</v>
      </c>
      <c r="AF7" t="s">
        <v>25</v>
      </c>
      <c r="AG7" t="s">
        <v>26</v>
      </c>
      <c r="AH7" t="s">
        <v>27</v>
      </c>
      <c r="AI7" t="s">
        <v>51</v>
      </c>
    </row>
    <row r="8" spans="3:35" x14ac:dyDescent="0.35">
      <c r="E8" t="s">
        <v>53</v>
      </c>
      <c r="F8" t="s">
        <v>54</v>
      </c>
      <c r="G8" t="s">
        <v>28</v>
      </c>
      <c r="H8" t="s">
        <v>55</v>
      </c>
      <c r="I8" t="s">
        <v>56</v>
      </c>
      <c r="J8" t="s">
        <v>57</v>
      </c>
      <c r="K8" t="s">
        <v>58</v>
      </c>
      <c r="L8" t="s">
        <v>29</v>
      </c>
      <c r="M8" t="s">
        <v>59</v>
      </c>
      <c r="N8" t="s">
        <v>129</v>
      </c>
      <c r="O8" t="s">
        <v>60</v>
      </c>
      <c r="P8" t="s">
        <v>37</v>
      </c>
      <c r="Q8" t="s">
        <v>28</v>
      </c>
      <c r="R8" t="s">
        <v>32</v>
      </c>
      <c r="S8" t="s">
        <v>28</v>
      </c>
      <c r="T8" t="s">
        <v>56</v>
      </c>
      <c r="U8" t="s">
        <v>28</v>
      </c>
      <c r="V8" t="s">
        <v>57</v>
      </c>
      <c r="W8" t="s">
        <v>58</v>
      </c>
      <c r="X8" t="s">
        <v>29</v>
      </c>
      <c r="Y8" t="s">
        <v>59</v>
      </c>
      <c r="Z8" t="s">
        <v>61</v>
      </c>
      <c r="AB8" t="s">
        <v>46</v>
      </c>
      <c r="AI8" t="s">
        <v>62</v>
      </c>
    </row>
    <row r="9" spans="3:35" x14ac:dyDescent="0.35">
      <c r="E9" t="s">
        <v>63</v>
      </c>
      <c r="F9" t="s">
        <v>64</v>
      </c>
      <c r="G9" t="s">
        <v>65</v>
      </c>
      <c r="H9" t="s">
        <v>66</v>
      </c>
      <c r="I9" t="s">
        <v>67</v>
      </c>
      <c r="J9" t="s">
        <v>68</v>
      </c>
      <c r="K9" t="s">
        <v>69</v>
      </c>
      <c r="L9" t="s">
        <v>29</v>
      </c>
      <c r="M9" t="s">
        <v>70</v>
      </c>
      <c r="N9" t="s">
        <v>130</v>
      </c>
      <c r="O9" t="s">
        <v>71</v>
      </c>
      <c r="P9" t="s">
        <v>30</v>
      </c>
      <c r="Q9" t="s">
        <v>47</v>
      </c>
      <c r="R9" t="s">
        <v>72</v>
      </c>
      <c r="S9" t="s">
        <v>28</v>
      </c>
      <c r="T9" t="s">
        <v>73</v>
      </c>
      <c r="U9" t="s">
        <v>28</v>
      </c>
      <c r="V9" t="s">
        <v>33</v>
      </c>
      <c r="W9" t="s">
        <v>34</v>
      </c>
      <c r="X9" t="s">
        <v>29</v>
      </c>
      <c r="Y9" t="s">
        <v>35</v>
      </c>
      <c r="Z9" t="s">
        <v>74</v>
      </c>
      <c r="AA9" t="s">
        <v>75</v>
      </c>
      <c r="AB9" t="s">
        <v>46</v>
      </c>
      <c r="AI9" t="s">
        <v>62</v>
      </c>
    </row>
    <row r="10" spans="3:35" x14ac:dyDescent="0.35">
      <c r="E10" t="s">
        <v>76</v>
      </c>
      <c r="H10" t="s">
        <v>77</v>
      </c>
      <c r="I10" t="s">
        <v>78</v>
      </c>
      <c r="J10" t="s">
        <v>38</v>
      </c>
      <c r="K10" t="s">
        <v>39</v>
      </c>
      <c r="L10" t="s">
        <v>36</v>
      </c>
      <c r="M10" t="s">
        <v>40</v>
      </c>
      <c r="N10" t="s">
        <v>79</v>
      </c>
      <c r="O10" t="s">
        <v>80</v>
      </c>
      <c r="Q10" t="s">
        <v>47</v>
      </c>
      <c r="R10" t="s">
        <v>72</v>
      </c>
      <c r="T10" t="s">
        <v>78</v>
      </c>
      <c r="V10" t="s">
        <v>38</v>
      </c>
      <c r="W10" t="s">
        <v>39</v>
      </c>
      <c r="X10" t="s">
        <v>36</v>
      </c>
      <c r="Y10" t="s">
        <v>40</v>
      </c>
      <c r="Z10" t="s">
        <v>81</v>
      </c>
      <c r="AB10" t="s">
        <v>48</v>
      </c>
      <c r="AC10" t="s">
        <v>47</v>
      </c>
      <c r="AD10" t="s">
        <v>82</v>
      </c>
      <c r="AE10" t="s">
        <v>47</v>
      </c>
      <c r="AF10" t="s">
        <v>28</v>
      </c>
      <c r="AG10" t="s">
        <v>30</v>
      </c>
      <c r="AI10" t="s">
        <v>62</v>
      </c>
    </row>
    <row r="11" spans="3:35" x14ac:dyDescent="0.35">
      <c r="E11" t="s">
        <v>83</v>
      </c>
      <c r="H11" t="s">
        <v>84</v>
      </c>
      <c r="I11" t="s">
        <v>85</v>
      </c>
      <c r="J11" t="s">
        <v>86</v>
      </c>
      <c r="K11" t="s">
        <v>87</v>
      </c>
      <c r="L11" t="s">
        <v>36</v>
      </c>
      <c r="M11" t="s">
        <v>88</v>
      </c>
      <c r="N11" t="s">
        <v>89</v>
      </c>
      <c r="O11" t="s">
        <v>90</v>
      </c>
      <c r="Q11" t="s">
        <v>91</v>
      </c>
      <c r="R11" t="s">
        <v>28</v>
      </c>
      <c r="T11" t="s">
        <v>85</v>
      </c>
      <c r="V11" t="s">
        <v>86</v>
      </c>
      <c r="W11" t="s">
        <v>87</v>
      </c>
      <c r="X11" t="s">
        <v>36</v>
      </c>
      <c r="Y11" t="s">
        <v>88</v>
      </c>
      <c r="Z11" t="s">
        <v>92</v>
      </c>
      <c r="AB11" t="s">
        <v>48</v>
      </c>
      <c r="AC11" t="s">
        <v>47</v>
      </c>
      <c r="AD11" t="s">
        <v>93</v>
      </c>
      <c r="AE11" t="s">
        <v>47</v>
      </c>
      <c r="AF11" t="s">
        <v>28</v>
      </c>
      <c r="AG11" t="s">
        <v>30</v>
      </c>
      <c r="AI11" t="s">
        <v>62</v>
      </c>
    </row>
    <row r="12" spans="3:35" x14ac:dyDescent="0.35">
      <c r="E12" t="s">
        <v>94</v>
      </c>
      <c r="H12" t="s">
        <v>95</v>
      </c>
      <c r="I12" t="s">
        <v>96</v>
      </c>
      <c r="J12" t="s">
        <v>38</v>
      </c>
      <c r="K12" t="s">
        <v>39</v>
      </c>
      <c r="L12" t="s">
        <v>36</v>
      </c>
      <c r="M12" t="s">
        <v>40</v>
      </c>
      <c r="N12" t="s">
        <v>97</v>
      </c>
      <c r="O12" t="s">
        <v>98</v>
      </c>
      <c r="Q12" t="s">
        <v>47</v>
      </c>
      <c r="R12" t="s">
        <v>32</v>
      </c>
      <c r="T12" t="s">
        <v>96</v>
      </c>
      <c r="V12" t="s">
        <v>38</v>
      </c>
      <c r="W12" t="s">
        <v>39</v>
      </c>
      <c r="X12" t="s">
        <v>36</v>
      </c>
      <c r="Y12" t="s">
        <v>40</v>
      </c>
      <c r="Z12" t="s">
        <v>99</v>
      </c>
      <c r="AB12" t="s">
        <v>48</v>
      </c>
      <c r="AC12" t="s">
        <v>47</v>
      </c>
      <c r="AD12" t="s">
        <v>100</v>
      </c>
      <c r="AE12" t="s">
        <v>47</v>
      </c>
      <c r="AF12" t="s">
        <v>28</v>
      </c>
      <c r="AG12" t="s">
        <v>31</v>
      </c>
      <c r="AI12" t="s">
        <v>62</v>
      </c>
    </row>
    <row r="13" spans="3:35" x14ac:dyDescent="0.35">
      <c r="E13" t="s">
        <v>101</v>
      </c>
      <c r="H13" t="s">
        <v>102</v>
      </c>
      <c r="I13" t="s">
        <v>103</v>
      </c>
      <c r="J13" t="s">
        <v>104</v>
      </c>
      <c r="K13" t="s">
        <v>105</v>
      </c>
      <c r="L13" t="s">
        <v>36</v>
      </c>
      <c r="M13" t="s">
        <v>106</v>
      </c>
      <c r="N13" t="s">
        <v>107</v>
      </c>
      <c r="O13" t="s">
        <v>108</v>
      </c>
      <c r="Q13" t="s">
        <v>47</v>
      </c>
      <c r="R13" t="s">
        <v>109</v>
      </c>
      <c r="T13" t="s">
        <v>28</v>
      </c>
      <c r="V13" t="s">
        <v>110</v>
      </c>
      <c r="W13" t="s">
        <v>44</v>
      </c>
      <c r="X13" t="s">
        <v>36</v>
      </c>
      <c r="Y13" t="s">
        <v>111</v>
      </c>
      <c r="Z13" t="s">
        <v>112</v>
      </c>
      <c r="AB13" t="s">
        <v>48</v>
      </c>
      <c r="AC13" t="s">
        <v>47</v>
      </c>
      <c r="AD13" t="s">
        <v>113</v>
      </c>
      <c r="AE13" t="s">
        <v>47</v>
      </c>
      <c r="AF13" t="s">
        <v>28</v>
      </c>
      <c r="AG13" t="s">
        <v>30</v>
      </c>
      <c r="AI13" t="s">
        <v>62</v>
      </c>
    </row>
    <row r="14" spans="3:35" x14ac:dyDescent="0.35">
      <c r="E14" t="s">
        <v>114</v>
      </c>
      <c r="I14" t="s">
        <v>115</v>
      </c>
      <c r="J14" t="s">
        <v>116</v>
      </c>
      <c r="K14" t="s">
        <v>117</v>
      </c>
      <c r="L14" t="s">
        <v>36</v>
      </c>
      <c r="M14" t="s">
        <v>118</v>
      </c>
      <c r="O14" t="s">
        <v>119</v>
      </c>
      <c r="T14" t="s">
        <v>115</v>
      </c>
      <c r="V14" t="s">
        <v>116</v>
      </c>
      <c r="W14" t="s">
        <v>117</v>
      </c>
      <c r="X14" t="s">
        <v>36</v>
      </c>
      <c r="Y14" t="s">
        <v>120</v>
      </c>
      <c r="AB14" t="s">
        <v>49</v>
      </c>
      <c r="AH14" t="s">
        <v>121</v>
      </c>
      <c r="AI14" t="s">
        <v>62</v>
      </c>
    </row>
    <row r="15" spans="3:35" x14ac:dyDescent="0.35">
      <c r="E15" t="s">
        <v>122</v>
      </c>
      <c r="O15" t="s">
        <v>123</v>
      </c>
      <c r="AB15" t="s">
        <v>49</v>
      </c>
      <c r="AH15" t="s">
        <v>124</v>
      </c>
      <c r="AI15" t="s">
        <v>62</v>
      </c>
    </row>
    <row r="16" spans="3:35" x14ac:dyDescent="0.35">
      <c r="E16" t="s">
        <v>125</v>
      </c>
      <c r="I16" t="s">
        <v>126</v>
      </c>
      <c r="J16" t="s">
        <v>43</v>
      </c>
      <c r="K16" t="s">
        <v>41</v>
      </c>
      <c r="L16" t="s">
        <v>36</v>
      </c>
      <c r="M16" t="s">
        <v>118</v>
      </c>
      <c r="O16" t="s">
        <v>127</v>
      </c>
      <c r="T16" t="s">
        <v>126</v>
      </c>
      <c r="V16" t="s">
        <v>43</v>
      </c>
      <c r="W16" t="s">
        <v>41</v>
      </c>
      <c r="X16" t="s">
        <v>36</v>
      </c>
      <c r="Y16" t="s">
        <v>42</v>
      </c>
      <c r="AB16" t="s">
        <v>49</v>
      </c>
      <c r="AH16" t="s">
        <v>128</v>
      </c>
      <c r="AI16" t="s">
        <v>62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078EFEE-41C8-41F5-A416-F12A0D0DFAB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Settings</vt:lpstr>
      <vt:lpstr>FolderPath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Md. Ismail Hosen</cp:lastModifiedBy>
  <dcterms:created xsi:type="dcterms:W3CDTF">2022-05-30T18:42:28Z</dcterms:created>
  <dcterms:modified xsi:type="dcterms:W3CDTF">2024-10-09T13:03:24Z</dcterms:modified>
</cp:coreProperties>
</file>