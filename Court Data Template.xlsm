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1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CourtRecordSearch\"/>
    </mc:Choice>
  </mc:AlternateContent>
  <xr:revisionPtr revIDLastSave="0" documentId="13_ncr:1_{3885381C-7FA2-4FE6-872A-DBC9BBC14272}" xr6:coauthVersionLast="47" xr6:coauthVersionMax="47" xr10:uidLastSave="{00000000-0000-0000-0000-000000000000}"/>
  <bookViews>
    <workbookView xWindow="-110" yWindow="-110" windowWidth="34620" windowHeight="14020" activeTab="2" xr2:uid="{361155FD-7C3B-4245-8BBE-CCF9CEEDA799}"/>
  </bookViews>
  <sheets>
    <sheet name="Settings" sheetId="3" r:id="rId1"/>
    <sheet name="Daily Data From Courts Website" sheetId="4" r:id="rId2"/>
    <sheet name="Legacy Website Data" sheetId="6" r:id="rId3"/>
  </sheets>
  <definedNames>
    <definedName name="_xlnm._FilterDatabase" localSheetId="2" hidden="1">'Legacy Website Data'!$AR$4:$AX$394</definedName>
    <definedName name="ExternalData_1" localSheetId="1" hidden="1">'Daily Data From Courts Website'!$C$4:$U$11</definedName>
    <definedName name="ExternalData_1" localSheetId="2" hidden="1">'Legacy Website Data'!$C$4:$AP$35</definedName>
    <definedName name="FolderPath">INDEX(_xlfn.TEXTSPLIT(CELL("filename"),{"[","]"}),,1)</definedName>
    <definedName name="FromArray_1">_xlfn.ANCHORARRAY(Settings!$C$4)</definedName>
    <definedName name="FromArray_2">_xlfn.ANCHORARRAY(Settings!$C$5)</definedName>
    <definedName name="LegacyDataFolderPath">Settings!$C$5</definedName>
    <definedName name="ThisWorkbookFolderPath">_xludf.TEXTBEFORE(CELL("filename"),"[")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5" i="6" l="1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C5" i="3" a="1"/>
  <c r="C5" i="3" s="1"/>
  <c r="AR4" i="6" a="1"/>
  <c r="AR4" i="6" s="1"/>
  <c r="C4" i="3" a="1"/>
  <c r="C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FA959A-7F6E-42B9-B62C-86DE5F803A3D}" keepAlive="1" name="Query - AllData" description="Connection to the 'AllData' query in the workbook." type="5" refreshedVersion="8" background="1" saveData="1">
    <dbPr connection="Provider=Microsoft.Mashup.OleDb.1;Data Source=$Workbook$;Location=AllData;Extended Properties=&quot;&quot;" command="SELECT * FROM [AllData]"/>
  </connection>
  <connection id="2" xr16:uid="{21B7E965-BF5D-40D3-83A4-6BA64F15E82C}" keepAlive="1" name="Query - fxGetCourtData" description="Connection to the 'fxGetCourtData' query in the workbook." type="5" refreshedVersion="8" background="1" saveData="1">
    <dbPr connection="Provider=Microsoft.Mashup.OleDb.1;Data Source=$Workbook$;Location=fxGetCourtData;Extended Properties=&quot;&quot;" command="SELECT * FROM [fxGetCourtData]"/>
  </connection>
  <connection id="3" xr16:uid="{6F5CD403-A95B-497B-BFAE-16045810FFDD}" keepAlive="1" name="Query - Legacy Data" description="Connection to the 'Legacy Data' query in the workbook." type="5" refreshedVersion="8" background="1" saveData="1">
    <dbPr connection="Provider=Microsoft.Mashup.OleDb.1;Data Source=$Workbook$;Location=&quot;Legacy Data&quot;;Extended Properties=&quot;&quot;" command="SELECT * FROM [Legacy 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df=xl(%P2%,headers="Yes")
# Check for non-alphabet characters in the specified columns
condition = (
    df["first_name"].str.contains("[^a-zA-Z]") |
    df["last_name"].str.contains("[^a-zA-Z]") |
    (df["middle_name"].notnull() &amp; df["middle_name"].str.contains("[^a-zA-Z]"))
)
df["middle_name"]=df["middle_name"].fillna('')
df[condition]</code>
    </pythonScript>
  </pythonScripts>
</python>
</file>

<file path=xl/sharedStrings.xml><?xml version="1.0" encoding="utf-8"?>
<sst xmlns="http://schemas.openxmlformats.org/spreadsheetml/2006/main" count="790" uniqueCount="525">
  <si>
    <t>decedent_info.Decedent</t>
  </si>
  <si>
    <t>decedent_info.Address</t>
  </si>
  <si>
    <t>decedent_info.City</t>
  </si>
  <si>
    <t>decedent_info.State</t>
  </si>
  <si>
    <t>decedent_info.Zip</t>
  </si>
  <si>
    <t>fiduciary_info.Fiduciary 1</t>
  </si>
  <si>
    <t>fiduciary_info.Relationship</t>
  </si>
  <si>
    <t>fiduciary_info.Address</t>
  </si>
  <si>
    <t>fiduciary_info.City</t>
  </si>
  <si>
    <t>fiduciary_info.State</t>
  </si>
  <si>
    <t>fiduciary_info.Zip</t>
  </si>
  <si>
    <t>fiduciary_info.Telephone</t>
  </si>
  <si>
    <t/>
  </si>
  <si>
    <t>Oh</t>
  </si>
  <si>
    <t>Spouse</t>
  </si>
  <si>
    <t>Middletown</t>
  </si>
  <si>
    <t>45042</t>
  </si>
  <si>
    <t>Cincinnati</t>
  </si>
  <si>
    <t>county</t>
  </si>
  <si>
    <t>Folder Path</t>
  </si>
  <si>
    <t>Data Date</t>
  </si>
  <si>
    <t>Son</t>
  </si>
  <si>
    <t>Hamilton</t>
  </si>
  <si>
    <t>45011</t>
  </si>
  <si>
    <t>Daughter</t>
  </si>
  <si>
    <t>Fairfield</t>
  </si>
  <si>
    <t>45014</t>
  </si>
  <si>
    <t>exact_dial_Fiduciary 1_phone_number_1</t>
  </si>
  <si>
    <t>exact_dial_Fiduciary 1_phone_number_2</t>
  </si>
  <si>
    <t>exact_dial_Fiduciary 1_phone_number_3</t>
  </si>
  <si>
    <t>exact_dial_Fiduciary 1_email_address</t>
  </si>
  <si>
    <t>Butler</t>
  </si>
  <si>
    <t>estimated_value</t>
  </si>
  <si>
    <t>Culp, Mary L</t>
  </si>
  <si>
    <t>5343 Sherry Lane</t>
  </si>
  <si>
    <t>Culp, Gregory</t>
  </si>
  <si>
    <t>513-293-8601</t>
  </si>
  <si>
    <t>11-04-2024</t>
  </si>
  <si>
    <t>Frazier, Carolyn D</t>
  </si>
  <si>
    <t>6217 Cardington Place</t>
  </si>
  <si>
    <t>West Chester</t>
  </si>
  <si>
    <t>45069</t>
  </si>
  <si>
    <t>Thomas, Karen Kay</t>
  </si>
  <si>
    <t>1081 Haverhill Drive</t>
  </si>
  <si>
    <t>513-313-7896</t>
  </si>
  <si>
    <t>Lindemuth, Clarence Junior</t>
  </si>
  <si>
    <t>1201 Dalton Drive</t>
  </si>
  <si>
    <t>Lindemuth, Michael Andrew</t>
  </si>
  <si>
    <t>6487 Lakeview Court</t>
  </si>
  <si>
    <t>Fairfield Township</t>
  </si>
  <si>
    <t>513-519-4269</t>
  </si>
  <si>
    <t>Lindemuth, Galina</t>
  </si>
  <si>
    <t>Mccoy, Nathaniel Glen Jr</t>
  </si>
  <si>
    <t>4017 Riverview Avenue</t>
  </si>
  <si>
    <t>Mccoy, Eloise Drake</t>
  </si>
  <si>
    <t>513-420-9275</t>
  </si>
  <si>
    <t>Monzel, Fred J</t>
  </si>
  <si>
    <t>7769 Bennington Drive</t>
  </si>
  <si>
    <t>45241</t>
  </si>
  <si>
    <t>Monzel, Jeanine C</t>
  </si>
  <si>
    <t>513-484-6408</t>
  </si>
  <si>
    <t>Sander Barnes, Paris Marie</t>
  </si>
  <si>
    <t>3326 Waterfowl Lane</t>
  </si>
  <si>
    <t>Sanders, Maria</t>
  </si>
  <si>
    <t>Mother</t>
  </si>
  <si>
    <t>513-630-9208</t>
  </si>
  <si>
    <t>first_name</t>
  </si>
  <si>
    <t>last_name</t>
  </si>
  <si>
    <t>middle_name</t>
  </si>
  <si>
    <t>full_name</t>
  </si>
  <si>
    <t>city</t>
  </si>
  <si>
    <t>state</t>
  </si>
  <si>
    <t>Ohio</t>
  </si>
  <si>
    <t>Patricia</t>
  </si>
  <si>
    <t>John</t>
  </si>
  <si>
    <t>J.</t>
  </si>
  <si>
    <t>Stephen</t>
  </si>
  <si>
    <t>Ronald</t>
  </si>
  <si>
    <t>Lynn</t>
  </si>
  <si>
    <t>Betty</t>
  </si>
  <si>
    <t>Jane</t>
  </si>
  <si>
    <t>Robert</t>
  </si>
  <si>
    <t>Margaret</t>
  </si>
  <si>
    <t>Richard</t>
  </si>
  <si>
    <t>K.</t>
  </si>
  <si>
    <t>Sue</t>
  </si>
  <si>
    <t>Ann</t>
  </si>
  <si>
    <t>Howard</t>
  </si>
  <si>
    <t>Williams</t>
  </si>
  <si>
    <t>John Robert "Johnny" Williams</t>
  </si>
  <si>
    <t>Kathleen</t>
  </si>
  <si>
    <t>Johnson</t>
  </si>
  <si>
    <t>D.</t>
  </si>
  <si>
    <t>Nancy</t>
  </si>
  <si>
    <t>H</t>
  </si>
  <si>
    <t>L</t>
  </si>
  <si>
    <t>Kurt</t>
  </si>
  <si>
    <t>Armstrong</t>
  </si>
  <si>
    <t>Hayden</t>
  </si>
  <si>
    <t>Dolores</t>
  </si>
  <si>
    <t>Gloria</t>
  </si>
  <si>
    <t>Scott</t>
  </si>
  <si>
    <t>M</t>
  </si>
  <si>
    <t>R</t>
  </si>
  <si>
    <t>J</t>
  </si>
  <si>
    <t>Sandra</t>
  </si>
  <si>
    <t>JEFFREY</t>
  </si>
  <si>
    <t>Edwards</t>
  </si>
  <si>
    <t>Beach</t>
  </si>
  <si>
    <t>Boggs</t>
  </si>
  <si>
    <t>W</t>
  </si>
  <si>
    <t>Helen</t>
  </si>
  <si>
    <t>Fry</t>
  </si>
  <si>
    <t>Helen Jane Fry</t>
  </si>
  <si>
    <t>Mason</t>
  </si>
  <si>
    <t>Thompson</t>
  </si>
  <si>
    <t>Lynn Thompson</t>
  </si>
  <si>
    <t>Springboro</t>
  </si>
  <si>
    <t>Davidson</t>
  </si>
  <si>
    <t>Sandra Davidson</t>
  </si>
  <si>
    <t>Reverend  Stephen Beach</t>
  </si>
  <si>
    <t>John Williams</t>
  </si>
  <si>
    <t>Franklin</t>
  </si>
  <si>
    <t>Eaton</t>
  </si>
  <si>
    <t>Stephen Eaton</t>
  </si>
  <si>
    <t>Stevens</t>
  </si>
  <si>
    <t>Sheryl</t>
  </si>
  <si>
    <t>Fahrenholz</t>
  </si>
  <si>
    <t>Ronald Fahrenholz</t>
  </si>
  <si>
    <t>Worley</t>
  </si>
  <si>
    <t>Nancy Worley</t>
  </si>
  <si>
    <t>Sheila</t>
  </si>
  <si>
    <t>Nagel</t>
  </si>
  <si>
    <t>Betty L Nagel</t>
  </si>
  <si>
    <t>Kurt Richard Armstrong</t>
  </si>
  <si>
    <t>Wagner</t>
  </si>
  <si>
    <t>F</t>
  </si>
  <si>
    <t>Margaret F Wagner</t>
  </si>
  <si>
    <t>Schell</t>
  </si>
  <si>
    <t>John Schell</t>
  </si>
  <si>
    <t>Shearer</t>
  </si>
  <si>
    <t>Gloria Shearer</t>
  </si>
  <si>
    <t>Kathleen Stevens</t>
  </si>
  <si>
    <t>Lana</t>
  </si>
  <si>
    <t>Durham</t>
  </si>
  <si>
    <t>Lana Sue Durham</t>
  </si>
  <si>
    <t>Waynesville</t>
  </si>
  <si>
    <t>Maurice Kim</t>
  </si>
  <si>
    <t>Edris</t>
  </si>
  <si>
    <t>Maurice Kim Edris</t>
  </si>
  <si>
    <t>Zachary</t>
  </si>
  <si>
    <t>Borgemenke</t>
  </si>
  <si>
    <t>D</t>
  </si>
  <si>
    <t>Zachary D Borgemenke</t>
  </si>
  <si>
    <t>Arter</t>
  </si>
  <si>
    <t>Richard D. Arter</t>
  </si>
  <si>
    <t>Bradford</t>
  </si>
  <si>
    <t>Bradford Scott</t>
  </si>
  <si>
    <t>Austin</t>
  </si>
  <si>
    <t>Quentin</t>
  </si>
  <si>
    <t>Austin Quentin Howard</t>
  </si>
  <si>
    <t>Grimes</t>
  </si>
  <si>
    <t>Sheryl J. Grimes</t>
  </si>
  <si>
    <t>Perry</t>
  </si>
  <si>
    <t>Schwartz</t>
  </si>
  <si>
    <t>Perry H Schwartz</t>
  </si>
  <si>
    <t>Kilgore</t>
  </si>
  <si>
    <t>Sheila K. Kilgore</t>
  </si>
  <si>
    <t>Wilmington</t>
  </si>
  <si>
    <t>Richard D Hayden</t>
  </si>
  <si>
    <t>personId</t>
  </si>
  <si>
    <t>Warren</t>
  </si>
  <si>
    <t>details_url</t>
  </si>
  <si>
    <t>https://www.legacy.com/us/obituaries/legacyremembers/john-williams-obituary?id=56595432</t>
  </si>
  <si>
    <t>https://www.legacy.com/us/obituaries/dayton/name/helen-fry-obituary?id=56687918</t>
  </si>
  <si>
    <t>https://www.legacy.com/us/obituaries/dayton/name/lynn-thompson-obituary?id=56674545</t>
  </si>
  <si>
    <t>https://www.legacy.com/us/obituaries/dayton/name/sandra-davidson-obituary?id=56656664</t>
  </si>
  <si>
    <t>https://www.legacy.com/us/obituaries/dayton/name/stephen-beach-obituary?id=56632224</t>
  </si>
  <si>
    <t>https://www.legacy.com/us/obituaries/dayton/name/john-williams-obituary?id=56618761</t>
  </si>
  <si>
    <t>https://www.legacy.com/us/obituaries/dayton/name/stephen-eaton-obituary?id=56610116</t>
  </si>
  <si>
    <t>https://www.legacy.com/us/obituaries/dayton/name/ronald-fahrenholz-obituary?id=56575401</t>
  </si>
  <si>
    <t>https://www.legacy.com/us/obituaries/dayton/name/nancy-worley-obituary?id=56575400</t>
  </si>
  <si>
    <t>https://www.legacy.com/us/obituaries/name/betty-nagel-obituary?id=56746703</t>
  </si>
  <si>
    <t>https://www.legacy.com/us/obituaries/name/kurt-armstrong-obituary?id=56731418</t>
  </si>
  <si>
    <t>https://www.legacy.com/us/obituaries/name/margaret-wagner-obituary?id=56731392</t>
  </si>
  <si>
    <t>https://www.legacy.com/us/obituaries/elkintribune/name/john-schell-obituary?id=56705535</t>
  </si>
  <si>
    <t>https://www.legacy.com/us/obituaries/name/gloria-shearer-obituary?id=56705734</t>
  </si>
  <si>
    <t>https://www.legacy.com/us/obituaries/name/kathleen-stevens-obituary?id=56693190</t>
  </si>
  <si>
    <t>https://www.legacy.com/us/obituaries/name/lana-durham-obituary?id=56674383</t>
  </si>
  <si>
    <t>https://www.legacy.com/us/obituaries/name/maurice-kim-edris-obituary?id=56677149</t>
  </si>
  <si>
    <t>https://www.legacy.com/us/obituaries/name/zachary-borgemenke-obituary?id=56670581</t>
  </si>
  <si>
    <t>https://www.legacy.com/us/obituaries/name/richard-arter-obituary?id=56649206</t>
  </si>
  <si>
    <t>https://www.legacy.com/us/obituaries/name/bradford-scott-obituary?id=56646448</t>
  </si>
  <si>
    <t>https://www.legacy.com/us/obituaries/name/austin-howard-obituary?id=56636606</t>
  </si>
  <si>
    <t>https://www.legacy.com/us/obituaries/name/sheryl-grimes-obituary?id=56630894</t>
  </si>
  <si>
    <t>https://www.legacy.com/us/obituaries/name/perry-schwartz-obituary?id=56602283</t>
  </si>
  <si>
    <t>https://obits.mlive.com/us/obituaries/grandrapids/name/stephen-beach-obituary?id=56592120</t>
  </si>
  <si>
    <t>https://www.legacy.com/us/obituaries/greenecodailies/name/sheila-kilgore-obituary?id=56572356</t>
  </si>
  <si>
    <t>https://www.legacy.com/us/obituaries/name/richard-hayden-obituary?id=56557831</t>
  </si>
  <si>
    <t>current_address</t>
  </si>
  <si>
    <t>Davy</t>
  </si>
  <si>
    <t>Davy Boggs</t>
  </si>
  <si>
    <t>https://www.legacy.com/us/obituaries/name/davy-boggs-obituary?id=56774710</t>
  </si>
  <si>
    <t>Patricia Ann Johnson</t>
  </si>
  <si>
    <t>https://www.legacy.com/us/obituaries/name/patricia-johnson-obituary?id=56778491</t>
  </si>
  <si>
    <t>1432 WESTERN ROW RD, MASON, OH 45040-1028</t>
  </si>
  <si>
    <t>Will</t>
  </si>
  <si>
    <t>Patricia Will</t>
  </si>
  <si>
    <t>https://www.legacy.com/us/obituaries/name/patricia-will-obituary?id=56777741</t>
  </si>
  <si>
    <t>989 BROOKFIELD DR, WAYNESVILLE, OH 45068-9565</t>
  </si>
  <si>
    <t>Alex</t>
  </si>
  <si>
    <t>Alex Edwards</t>
  </si>
  <si>
    <t>https://www.legacy.com/us/obituaries/name/alex-edwards-obituary?id=56767973</t>
  </si>
  <si>
    <t>Yates</t>
  </si>
  <si>
    <t>S</t>
  </si>
  <si>
    <t>Dolores S Yates</t>
  </si>
  <si>
    <t>https://www.legacy.com/us/obituaries/name/dolores-yates-obituary?id=56785575</t>
  </si>
  <si>
    <t>7323 LEISURE LN, MASON, OH 45040-3472</t>
  </si>
  <si>
    <t>25 BROAD ST APT 209, AKRON, OH 44305-1564</t>
  </si>
  <si>
    <t>5750 SENTINEL OAK DR, MASON, OH 45040-8270</t>
  </si>
  <si>
    <t>4241 HOMEWOOD RD, KNOXVILLE, TN 37918-1890</t>
  </si>
  <si>
    <t>982 LOCUST CT, MASON, OH 45040-1491</t>
  </si>
  <si>
    <t>585 N STATE ROUTE 741 UNIT 111, LEBANON, OH 45036-3400</t>
  </si>
  <si>
    <t>6690 LAKESIDE DR APT 200AF, WEST CHESTER, OH 45069-4417</t>
  </si>
  <si>
    <t>465 OAK DR, TIPP CITY, OH 45371-1135</t>
  </si>
  <si>
    <t>6680 SCARBOROUGH CT, MORROW, OH 45152-8479</t>
  </si>
  <si>
    <t>701 HAVERHILL CT, RALEIGH, NC 27609-5342</t>
  </si>
  <si>
    <t>8683 CLEARCREEK RD APT 316, SPRINGBORO, OH 45066-0086</t>
  </si>
  <si>
    <t>926 OLYMPIA DR, MASON, OH 45040-1041</t>
  </si>
  <si>
    <t>4545 STATE ROUTE 122, FRANKLIN, OH 45005-9650</t>
  </si>
  <si>
    <t>3202 HAMPTON PL, MIDDLETOWN, OH 45042-3614</t>
  </si>
  <si>
    <t>3664 W STATE ROUTE 22 3 APT 120, LOVELAND, OH 45140-1655</t>
  </si>
  <si>
    <t>10317 GREENWOOD RD, MIDDLETOWN, OH 45042-9522</t>
  </si>
  <si>
    <t>106 WYNDEMERE DR, FRANKLIN, OH 45005-2469</t>
  </si>
  <si>
    <t>239 JEFFERSON ST UNIT 1, GREENFIELD, OH 45123-1495</t>
  </si>
  <si>
    <t>4772 BORDEAUX LN, MASON, OH 45040-3689</t>
  </si>
  <si>
    <t>Column1</t>
  </si>
  <si>
    <t>relative_1_name</t>
  </si>
  <si>
    <t>relative_1_phone_number_1</t>
  </si>
  <si>
    <t>relative_1_phone_number_1_last_used_date</t>
  </si>
  <si>
    <t>relative_2_name</t>
  </si>
  <si>
    <t>relative_2_phone_number_1</t>
  </si>
  <si>
    <t>relative_2_phone_number_1_last_used_date</t>
  </si>
  <si>
    <t>relative_3_name</t>
  </si>
  <si>
    <t>relative_3_phone_number_1</t>
  </si>
  <si>
    <t>relative_3_phone_number_1_last_used_date</t>
  </si>
  <si>
    <t>relative_3_phone_number_2</t>
  </si>
  <si>
    <t>relative_3_phone_number_2_last_used_date</t>
  </si>
  <si>
    <t>ownerPropertyId</t>
  </si>
  <si>
    <t>owner1Corporate</t>
  </si>
  <si>
    <t>owner1LastName</t>
  </si>
  <si>
    <t>owner1FirstName</t>
  </si>
  <si>
    <t>owner1MiddleName</t>
  </si>
  <si>
    <t>owner1FullName</t>
  </si>
  <si>
    <t>ownerOccupancy</t>
  </si>
  <si>
    <t>ownerType</t>
  </si>
  <si>
    <t>currentOwner</t>
  </si>
  <si>
    <t>ownerProperty</t>
  </si>
  <si>
    <t>ownerNames</t>
  </si>
  <si>
    <t>ownershipLength</t>
  </si>
  <si>
    <t>ownership</t>
  </si>
  <si>
    <t>ownerOccupied</t>
  </si>
  <si>
    <t>effectiveOwner1FullName</t>
  </si>
  <si>
    <t>relative_2_phone_number_2</t>
  </si>
  <si>
    <t>relative_2_phone_number_2_last_used_date</t>
  </si>
  <si>
    <t>relative_1_phone_number_2</t>
  </si>
  <si>
    <t>relative_1_phone_number_2_last_used_date</t>
  </si>
  <si>
    <t>JAMES JOHNSON</t>
  </si>
  <si>
    <t>513-404-6886</t>
  </si>
  <si>
    <t>10/10/2006</t>
  </si>
  <si>
    <t>BRETT BUCHEIT</t>
  </si>
  <si>
    <t>513-604-6662</t>
  </si>
  <si>
    <t>09/23/2021</t>
  </si>
  <si>
    <t>ALYSON JOHNSON</t>
  </si>
  <si>
    <t>513-913-8298</t>
  </si>
  <si>
    <t>09/13/2022</t>
  </si>
  <si>
    <t>07/01/2016</t>
  </si>
  <si>
    <t>BUCHEIT</t>
  </si>
  <si>
    <t>PATRICIA</t>
  </si>
  <si>
    <t>K</t>
  </si>
  <si>
    <t>BUCHEIT PATRICIA K</t>
  </si>
  <si>
    <t>Owner Occupied</t>
  </si>
  <si>
    <t>INDIVIDUAL</t>
  </si>
  <si>
    <t>[Record]</t>
  </si>
  <si>
    <t>Individual</t>
  </si>
  <si>
    <t>PAUL WILL</t>
  </si>
  <si>
    <t>MARY WILL</t>
  </si>
  <si>
    <t>847-804-2772</t>
  </si>
  <si>
    <t>02/06/2024</t>
  </si>
  <si>
    <t>JASON SEEVERS</t>
  </si>
  <si>
    <t>513-850-5103</t>
  </si>
  <si>
    <t>12/15/2023</t>
  </si>
  <si>
    <t>937-554-5910</t>
  </si>
  <si>
    <t>10/01/2022</t>
  </si>
  <si>
    <t>PAUL YATES</t>
  </si>
  <si>
    <t>DONNA ZOUCK</t>
  </si>
  <si>
    <t>937-609-2847</t>
  </si>
  <si>
    <t>06/24/2024</t>
  </si>
  <si>
    <t>FREDERICK ZOUCK</t>
  </si>
  <si>
    <t>513-293-8144</t>
  </si>
  <si>
    <t>937-272-8424</t>
  </si>
  <si>
    <t>04/16/2024</t>
  </si>
  <si>
    <t>BETH MILLER</t>
  </si>
  <si>
    <t>740-821-9733</t>
  </si>
  <si>
    <t>08/29/2021</t>
  </si>
  <si>
    <t>DALE MILLER</t>
  </si>
  <si>
    <t>216-727-7847</t>
  </si>
  <si>
    <t>09/11/2024</t>
  </si>
  <si>
    <t>ANGELA MATTHEWS</t>
  </si>
  <si>
    <t>317-513-1854</t>
  </si>
  <si>
    <t>12/30/2020</t>
  </si>
  <si>
    <t>740-294-1168</t>
  </si>
  <si>
    <t>12/17/2020</t>
  </si>
  <si>
    <t>330-622-1462</t>
  </si>
  <si>
    <t>02/07/2024</t>
  </si>
  <si>
    <t>740-357-5781</t>
  </si>
  <si>
    <t>11/22/2019</t>
  </si>
  <si>
    <t>KATHRYN FERGUSON</t>
  </si>
  <si>
    <t>630-689-6895</t>
  </si>
  <si>
    <t>SANDRA SCHELL</t>
  </si>
  <si>
    <t>336-467-0399</t>
  </si>
  <si>
    <t>07/20/2024</t>
  </si>
  <si>
    <t>LESLIE SLOAN</t>
  </si>
  <si>
    <t>423-598-9444</t>
  </si>
  <si>
    <t>01/15/2024</t>
  </si>
  <si>
    <t>310-420-7373</t>
  </si>
  <si>
    <t>11/07/2023</t>
  </si>
  <si>
    <t>SCHELL</t>
  </si>
  <si>
    <t>TERESA</t>
  </si>
  <si>
    <t>SCHELL TERESA M</t>
  </si>
  <si>
    <t>803-467-0399</t>
  </si>
  <si>
    <t>03/31/2020</t>
  </si>
  <si>
    <t>THOMAS STEVENS</t>
  </si>
  <si>
    <t>901-586-4767</t>
  </si>
  <si>
    <t>08/27/2024</t>
  </si>
  <si>
    <t>KATHLEEN STEVENS</t>
  </si>
  <si>
    <t>09/14/2023</t>
  </si>
  <si>
    <t>JOSHUA STEVENS</t>
  </si>
  <si>
    <t>901-616-4222</t>
  </si>
  <si>
    <t>09/23/2022</t>
  </si>
  <si>
    <t>865-606-9649</t>
  </si>
  <si>
    <t>STEVENS</t>
  </si>
  <si>
    <t>THOMAS</t>
  </si>
  <si>
    <t>III STEVEN</t>
  </si>
  <si>
    <t>STEVENS THOMAS III STEVENS KATHLEEN</t>
  </si>
  <si>
    <t>901-687-6617</t>
  </si>
  <si>
    <t>08/06/2014</t>
  </si>
  <si>
    <t>901-867-6727</t>
  </si>
  <si>
    <t>06/01/2024</t>
  </si>
  <si>
    <t>ROBERT FRY</t>
  </si>
  <si>
    <t>937-371-9283</t>
  </si>
  <si>
    <t>08/09/2024</t>
  </si>
  <si>
    <t>BENJAMIN FRY</t>
  </si>
  <si>
    <t>937-546-7781</t>
  </si>
  <si>
    <t>ZACHARY FRY</t>
  </si>
  <si>
    <t>937-546-5467</t>
  </si>
  <si>
    <t>07/23/2024</t>
  </si>
  <si>
    <t>KENT</t>
  </si>
  <si>
    <t>LARRY</t>
  </si>
  <si>
    <t>KENT LARRY</t>
  </si>
  <si>
    <t>KENT LARRY, KENT JOYCE</t>
  </si>
  <si>
    <t>08/05/2024</t>
  </si>
  <si>
    <t>937-572-9054</t>
  </si>
  <si>
    <t>03/07/2009</t>
  </si>
  <si>
    <t>ROBERT THOMPSON</t>
  </si>
  <si>
    <t>513-324-5099</t>
  </si>
  <si>
    <t>07/02/2004</t>
  </si>
  <si>
    <t>EMILY THOMPSON</t>
  </si>
  <si>
    <t>JENNIFER THOMPSON</t>
  </si>
  <si>
    <t>DAVID BORGEMENKE</t>
  </si>
  <si>
    <t>513-253-1707</t>
  </si>
  <si>
    <t>06/25/2024</t>
  </si>
  <si>
    <t>KAREN BORGEMENKE</t>
  </si>
  <si>
    <t>513-253-1532</t>
  </si>
  <si>
    <t>BRANDON BORGEMENKE</t>
  </si>
  <si>
    <t>513-515-5376</t>
  </si>
  <si>
    <t>513-638-8111</t>
  </si>
  <si>
    <t>08/20/2017</t>
  </si>
  <si>
    <t>DOUGLAS DAVIDSON</t>
  </si>
  <si>
    <t>937-689-3570</t>
  </si>
  <si>
    <t>04/18/2024</t>
  </si>
  <si>
    <t>ELMER REYNOLDS</t>
  </si>
  <si>
    <t>937-631-4570</t>
  </si>
  <si>
    <t>02/26/2004</t>
  </si>
  <si>
    <t>PEARL REYNOLDS</t>
  </si>
  <si>
    <t>DAVIDSON</t>
  </si>
  <si>
    <t>SANDRA</t>
  </si>
  <si>
    <t>DAVIDSON SANDRA</t>
  </si>
  <si>
    <t>CARLA ARTER</t>
  </si>
  <si>
    <t>937-765-6441</t>
  </si>
  <si>
    <t>06/13/2024</t>
  </si>
  <si>
    <t>JOSEPHINE ARTER</t>
  </si>
  <si>
    <t>716-491-7208</t>
  </si>
  <si>
    <t>05/21/2024</t>
  </si>
  <si>
    <t>JACQUELYN RESER</t>
  </si>
  <si>
    <t>513-446-0522</t>
  </si>
  <si>
    <t>06/29/2024</t>
  </si>
  <si>
    <t>513-446-0521</t>
  </si>
  <si>
    <t>05/08/2024</t>
  </si>
  <si>
    <t>BOWERSOCK</t>
  </si>
  <si>
    <t>TODD</t>
  </si>
  <si>
    <t>BOWERSOCK JEFFREY TODD</t>
  </si>
  <si>
    <t>716-471-6470</t>
  </si>
  <si>
    <t>CAROLYN SCOTT</t>
  </si>
  <si>
    <t>919-523-4093</t>
  </si>
  <si>
    <t>01/12/2024</t>
  </si>
  <si>
    <t>ROSEY JARRETT</t>
  </si>
  <si>
    <t>706-876-8700</t>
  </si>
  <si>
    <t>02/05/2023</t>
  </si>
  <si>
    <t>KRISTINA WALKER</t>
  </si>
  <si>
    <t>423-227-8587</t>
  </si>
  <si>
    <t>06/20/2024</t>
  </si>
  <si>
    <t>706-581-7071</t>
  </si>
  <si>
    <t>09/26/2023</t>
  </si>
  <si>
    <t>WHISLER</t>
  </si>
  <si>
    <t>JOHN</t>
  </si>
  <si>
    <t>WHISLER JOHN W</t>
  </si>
  <si>
    <t>WHISLER JOHN W, WHISLER CAROLYN SCOTT</t>
  </si>
  <si>
    <t>706-876-8701</t>
  </si>
  <si>
    <t>08/26/2015</t>
  </si>
  <si>
    <t>JULIE BEACH</t>
  </si>
  <si>
    <t>PAUL BEACH</t>
  </si>
  <si>
    <t>810-656-1904</t>
  </si>
  <si>
    <t>LORI BEACH</t>
  </si>
  <si>
    <t>623-703-5096</t>
  </si>
  <si>
    <t>520-977-3318</t>
  </si>
  <si>
    <t>01/27/2024</t>
  </si>
  <si>
    <t>SANCTUARY AT SPRINGBORO</t>
  </si>
  <si>
    <t>Non-Owner Occupied</t>
  </si>
  <si>
    <t>CORPORATE</t>
  </si>
  <si>
    <t>Corporate</t>
  </si>
  <si>
    <t>248-622-0407</t>
  </si>
  <si>
    <t>11/29/2023</t>
  </si>
  <si>
    <t>WILLIAM GRIMES</t>
  </si>
  <si>
    <t>513-398-4320</t>
  </si>
  <si>
    <t>09/01/2024</t>
  </si>
  <si>
    <t>WAFA ALBANNA</t>
  </si>
  <si>
    <t>ROBERT STERNBERG</t>
  </si>
  <si>
    <t>803-460-4948</t>
  </si>
  <si>
    <t>10/19/2015</t>
  </si>
  <si>
    <t>GRIMES</t>
  </si>
  <si>
    <t>SHERYL</t>
  </si>
  <si>
    <t>GRIMES SHERYL J</t>
  </si>
  <si>
    <t>TAMMY WILLIAMS</t>
  </si>
  <si>
    <t>DAISY WILLIAMS</t>
  </si>
  <si>
    <t>937-830-2622</t>
  </si>
  <si>
    <t>10/23/2022</t>
  </si>
  <si>
    <t>KATHLEEN TROJAN</t>
  </si>
  <si>
    <t>859-814-1750</t>
  </si>
  <si>
    <t>03/02/2016</t>
  </si>
  <si>
    <t>937-367-7684</t>
  </si>
  <si>
    <t>10/08/2017</t>
  </si>
  <si>
    <t>PATRICIA EATON</t>
  </si>
  <si>
    <t>513-307-0828</t>
  </si>
  <si>
    <t>BARBARA EATON</t>
  </si>
  <si>
    <t>STEPHANIE RICH</t>
  </si>
  <si>
    <t>513-594-1272</t>
  </si>
  <si>
    <t>06/19/2024</t>
  </si>
  <si>
    <t>513-310-1758</t>
  </si>
  <si>
    <t>EATON</t>
  </si>
  <si>
    <t>STEPHEN</t>
  </si>
  <si>
    <t>EATON STEPHEN S</t>
  </si>
  <si>
    <t>EATON STEPHEN S, EATON PATRICIA D</t>
  </si>
  <si>
    <t>937-545-8255</t>
  </si>
  <si>
    <t>03/10/2017</t>
  </si>
  <si>
    <t>MARGARET SCHWARTZ</t>
  </si>
  <si>
    <t>REBECCA MURPHY</t>
  </si>
  <si>
    <t>513-208-7224</t>
  </si>
  <si>
    <t>RACHEL SCHWARTZ</t>
  </si>
  <si>
    <t>614-390-2489</t>
  </si>
  <si>
    <t>11/14/2016</t>
  </si>
  <si>
    <t>STACIE WILLIAMS</t>
  </si>
  <si>
    <t>513-594-4334</t>
  </si>
  <si>
    <t>08/06/2024</t>
  </si>
  <si>
    <t>JOHN WILLIAMS</t>
  </si>
  <si>
    <t>937-641-9494</t>
  </si>
  <si>
    <t>04/08/2018</t>
  </si>
  <si>
    <t>DRAKE MILLER</t>
  </si>
  <si>
    <t>513-464-1503</t>
  </si>
  <si>
    <t>05/23/2024</t>
  </si>
  <si>
    <t>937-309-1589</t>
  </si>
  <si>
    <t>10/25/2022</t>
  </si>
  <si>
    <t>WILLIAMS</t>
  </si>
  <si>
    <t>WILLIAMS JOHN R</t>
  </si>
  <si>
    <t>WILLIAMS JOHN R, WILLIAMS STACIE A</t>
  </si>
  <si>
    <t>513-267-7217</t>
  </si>
  <si>
    <t>937-533-0910</t>
  </si>
  <si>
    <t>RONALD FAHRENHOLZ</t>
  </si>
  <si>
    <t>813-465-8769</t>
  </si>
  <si>
    <t>01/08/2024</t>
  </si>
  <si>
    <t>STEVEN FAHRENHOLZ</t>
  </si>
  <si>
    <t>270-404-5496</t>
  </si>
  <si>
    <t>05/19/2024</t>
  </si>
  <si>
    <t>JENNIFER ANGELL</t>
  </si>
  <si>
    <t>480-529-6977</t>
  </si>
  <si>
    <t>07/25/2024</t>
  </si>
  <si>
    <t>206-271-9231</t>
  </si>
  <si>
    <t>11/09/2023</t>
  </si>
  <si>
    <t>270-590-1827</t>
  </si>
  <si>
    <t>09/28/2023</t>
  </si>
  <si>
    <t>813-468-3520</t>
  </si>
  <si>
    <t>12/09/2019</t>
  </si>
  <si>
    <t>STEVEN JUILFS</t>
  </si>
  <si>
    <t>304-991-3074</t>
  </si>
  <si>
    <t>HOMER MILLS</t>
  </si>
  <si>
    <t>513-368-9246</t>
  </si>
  <si>
    <t>09/18/2024</t>
  </si>
  <si>
    <t>CYNTHIA SINGLETON</t>
  </si>
  <si>
    <t>305-807-4521</t>
  </si>
  <si>
    <t>PATRICIA HAYDEN</t>
  </si>
  <si>
    <t>513-313-5592</t>
  </si>
  <si>
    <t>02/11/2017</t>
  </si>
  <si>
    <t>ERIC HAYDEN</t>
  </si>
  <si>
    <t>513-262-0754</t>
  </si>
  <si>
    <t>11/30/2022</t>
  </si>
  <si>
    <t>LONNIE LEWIS</t>
  </si>
  <si>
    <t>513-237-8675</t>
  </si>
  <si>
    <t>HAYDEN</t>
  </si>
  <si>
    <t>RICHARD</t>
  </si>
  <si>
    <t>HAYDEN RICHARD D</t>
  </si>
  <si>
    <t>HAYDEN RICHARD D, HAYDEN PATR</t>
  </si>
  <si>
    <t>513-377-6142</t>
  </si>
  <si>
    <t>09/24/2004</t>
  </si>
  <si>
    <t>513-432-2574</t>
  </si>
  <si>
    <t>12/01/2016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</si>
</sst>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</font>
    <font>
      <b/>
      <sz val="14"/>
      <color theme="3"/>
      <name val="Calibri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49" fontId="0" fillId="0" borderId="0" xfId="0" applyNumberFormat="1"/>
    <xf numFmtId="0" fontId="0" fillId="2" borderId="0" xfId="0" applyFill="1"/>
  </cellXfs>
  <cellStyles count="2">
    <cellStyle name="Heading 4" xfId="1" builtinId="19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06/relationships/rdSupportingPropertyBag" Target="richData/rdsupportingpropertybag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SupportingPropertyBagStructure" Target="richData/rdsupportingpropertybagstructure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ichStyles" Target="richData/richStyles.xml"/><Relationship Id="rId5" Type="http://schemas.openxmlformats.org/officeDocument/2006/relationships/connections" Target="connections.xml"/><Relationship Id="rId15" Type="http://schemas.openxmlformats.org/officeDocument/2006/relationships/calcChain" Target="calcChain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1016000</xdr:colOff>
      <xdr:row>0</xdr:row>
      <xdr:rowOff>190500</xdr:rowOff>
    </xdr:from>
    <xdr:to>
      <xdr:col>3</xdr:col>
      <xdr:colOff>592328</xdr:colOff>
      <xdr:row>2</xdr:row>
      <xdr:rowOff>50292</xdr:rowOff>
    </xdr:to>
    <xdr:sp macro="[0]!RefreshCourtsData" textlink="">
      <xdr:nvSpPr>
        <xdr:cNvPr id="2" name="RefreshButton">
          <a:extLst>
            <a:ext uri="{FF2B5EF4-FFF2-40B4-BE49-F238E27FC236}">
              <a16:creationId xmlns:a16="http://schemas.microsoft.com/office/drawing/2014/main" id="{79B714B2-A4C9-43D2-AFB2-4AD60CEB70E2}"/>
            </a:ext>
          </a:extLst>
        </xdr:cNvPr>
        <xdr:cNvSpPr/>
      </xdr:nvSpPr>
      <xdr:spPr>
        <a:xfrm>
          <a:off x="2235200" y="190500"/>
          <a:ext cx="1252728" cy="386842"/>
        </a:xfrm>
        <a:prstGeom prst="roundRect">
          <a:avLst/>
        </a:prstGeom>
        <a:solidFill>
          <a:srgbClr val="13501B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b">
          <a:noAutofit/>
        </a:bodyPr>
        <a:lstStyle/>
        <a:p>
          <a:pPr algn="ctr"/>
          <a:r>
            <a:rPr lang="en-US" sz="1400">
              <a:latin typeface="Segoe UI Symbol" panose="020B0502040204020203" pitchFamily="34" charset="0"/>
              <a:ea typeface="Segoe UI Symbol" panose="020B0502040204020203" pitchFamily="34" charset="0"/>
            </a:rPr>
            <a:t></a:t>
          </a:r>
          <a:r>
            <a:rPr lang="en-US" sz="1600"/>
            <a:t> </a:t>
          </a:r>
          <a:r>
            <a:rPr lang="en-US" sz="1600">
              <a:latin typeface="Calibri" panose="020F0502020204030204" pitchFamily="34" charset="0"/>
              <a:cs typeface="Calibri" panose="020F0502020204030204" pitchFamily="34" charset="0"/>
            </a:rPr>
            <a:t>Refresh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973A76-B05F-432C-8F3E-12336643EB11}" autoFormatId="16" applyNumberFormats="0" applyBorderFormats="0" applyFontFormats="0" applyPatternFormats="0" applyAlignmentFormats="0" applyWidthHeightFormats="0">
  <queryTableRefresh nextId="206">
    <queryTableFields count="19">
      <queryTableField id="1" name="decedent_info.Decedent" tableColumnId="1"/>
      <queryTableField id="5" name="decedent_info.Address" tableColumnId="5"/>
      <queryTableField id="7" name="decedent_info.City" tableColumnId="7"/>
      <queryTableField id="8" name="decedent_info.State" tableColumnId="8"/>
      <queryTableField id="9" name="decedent_info.Zip" tableColumnId="9"/>
      <queryTableField id="11" name="fiduciary_info.Fiduciary 1" tableColumnId="11"/>
      <queryTableField id="14" name="fiduciary_info.Relationship" tableColumnId="14"/>
      <queryTableField id="16" name="fiduciary_info.Address" tableColumnId="16"/>
      <queryTableField id="19" name="fiduciary_info.City" tableColumnId="19"/>
      <queryTableField id="20" name="fiduciary_info.State" tableColumnId="20"/>
      <queryTableField id="21" name="fiduciary_info.Zip" tableColumnId="21"/>
      <queryTableField id="22" name="fiduciary_info.Telephone" tableColumnId="22"/>
      <queryTableField id="23" name="county" tableColumnId="23"/>
      <queryTableField id="59" name="exact_dial_Fiduciary 1_email_address" tableColumnId="50"/>
      <queryTableField id="44" name="exact_dial_Fiduciary 1_phone_number_1" tableColumnId="35"/>
      <queryTableField id="47" name="exact_dial_Fiduciary 1_phone_number_2" tableColumnId="38"/>
      <queryTableField id="50" name="exact_dial_Fiduciary 1_phone_number_3" tableColumnId="41"/>
      <queryTableField id="185" name="estimated_value" tableColumnId="32"/>
      <queryTableField id="30" name="Data Date" tableColumnId="30"/>
    </queryTableFields>
    <queryTableDeletedFields count="24">
      <deletedField name="exact_dial_Fiduciary 1_phone_number_1_identifier"/>
      <deletedField name="exact_dial_Fiduciary 1_phone_number_2_identifier"/>
      <deletedField name="exact_dial_Fiduciary 1_phone_number_3_identifier"/>
      <deletedField name="exact_dial_Fiduciary 1_phone_number_4"/>
      <deletedField name="exact_dial_Fiduciary 1_phone_number_4_identifier"/>
      <deletedField name="exact_dial_Fiduciary 1_phone_number_4_last_used_date"/>
      <deletedField name="exact_dial_Fiduciary 1_phone_number_5"/>
      <deletedField name="exact_dial_Fiduciary 1_phone_number_5_identifier"/>
      <deletedField name="exact_dial_Fiduciary 1_phone_number_5_last_used_date"/>
      <deletedField name="exact_dial_Fiduciary 1_phone_number_6"/>
      <deletedField name="exact_dial_Fiduciary 1_phone_number_6_identifier"/>
      <deletedField name="exact_dial_Fiduciary 1_phone_number_6_last_used_date"/>
      <deletedField name="exact_dial_Fiduciary 1_phone_number_7"/>
      <deletedField name="exact_dial_Fiduciary 1_phone_number_7_identifier"/>
      <deletedField name="exact_dial_Fiduciary 1_phone_number_7_last_used_date"/>
      <deletedField name="fiduciary_info.Fiduciary 2"/>
      <deletedField name="exact_dial_Fiduciary 1_phone_number_8"/>
      <deletedField name="exact_dial_Fiduciary 1_phone_number_8_identifier"/>
      <deletedField name="exact_dial_Fiduciary 1_phone_number_8_last_used_date"/>
      <deletedField name="exact_dial_Fiduciary 1_phone_number_9"/>
      <deletedField name="exact_dial_Fiduciary 1_phone_number_9_identifier"/>
      <deletedField name="exact_dial_Fiduciary 1_phone_number_9_last_used_date"/>
      <deletedField name="fiduciary_info.Fiduciary Type"/>
      <deletedField name="url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31AA243-5D3B-4DC3-9C0F-1646AF8CE30F}" autoFormatId="16" applyNumberFormats="0" applyBorderFormats="0" applyFontFormats="0" applyPatternFormats="0" applyAlignmentFormats="0" applyWidthHeightFormats="0">
  <queryTableRefresh nextId="44" unboundColumnsRight="1">
    <queryTableFields count="41">
      <queryTableField id="7" name="personId" tableColumnId="7"/>
      <queryTableField id="1" name="first_name" tableColumnId="1"/>
      <queryTableField id="2" name="last_name" tableColumnId="2"/>
      <queryTableField id="3" name="middle_name" tableColumnId="3"/>
      <queryTableField id="4" name="full_name" tableColumnId="4"/>
      <queryTableField id="5" name="city" tableColumnId="5"/>
      <queryTableField id="8" name="county" tableColumnId="8"/>
      <queryTableField id="6" name="state" tableColumnId="6"/>
      <queryTableField id="11" name="details_url" tableColumnId="9"/>
      <queryTableField id="12" name="current_address" tableColumnId="10"/>
      <queryTableField id="13" name="relative_1_name" tableColumnId="11"/>
      <queryTableField id="14" name="relative_1_phone_number_1" tableColumnId="12"/>
      <queryTableField id="15" name="relative_1_phone_number_1_last_used_date" tableColumnId="13"/>
      <queryTableField id="16" name="relative_2_name" tableColumnId="14"/>
      <queryTableField id="17" name="relative_2_phone_number_1" tableColumnId="15"/>
      <queryTableField id="18" name="relative_2_phone_number_1_last_used_date" tableColumnId="16"/>
      <queryTableField id="19" name="relative_3_name" tableColumnId="17"/>
      <queryTableField id="20" name="relative_3_phone_number_1" tableColumnId="18"/>
      <queryTableField id="21" name="relative_3_phone_number_1_last_used_date" tableColumnId="19"/>
      <queryTableField id="22" name="relative_3_phone_number_2" tableColumnId="20"/>
      <queryTableField id="23" name="relative_3_phone_number_2_last_used_date" tableColumnId="21"/>
      <queryTableField id="24" name="ownerPropertyId" tableColumnId="22"/>
      <queryTableField id="25" name="owner1Corporate" tableColumnId="23"/>
      <queryTableField id="26" name="owner1LastName" tableColumnId="24"/>
      <queryTableField id="27" name="owner1FirstName" tableColumnId="25"/>
      <queryTableField id="28" name="owner1MiddleName" tableColumnId="26"/>
      <queryTableField id="29" name="owner1FullName" tableColumnId="27"/>
      <queryTableField id="30" name="ownerOccupancy" tableColumnId="28"/>
      <queryTableField id="31" name="ownerType" tableColumnId="29"/>
      <queryTableField id="32" name="currentOwner" tableColumnId="30"/>
      <queryTableField id="33" name="ownerProperty" tableColumnId="31"/>
      <queryTableField id="34" name="ownerNames" tableColumnId="32"/>
      <queryTableField id="35" name="ownershipLength" tableColumnId="33"/>
      <queryTableField id="36" name="ownership" tableColumnId="34"/>
      <queryTableField id="37" name="ownerOccupied" tableColumnId="35"/>
      <queryTableField id="38" name="effectiveOwner1FullName" tableColumnId="36"/>
      <queryTableField id="39" name="relative_2_phone_number_2" tableColumnId="37"/>
      <queryTableField id="40" name="relative_2_phone_number_2_last_used_date" tableColumnId="38"/>
      <queryTableField id="41" name="relative_1_phone_number_2" tableColumnId="39"/>
      <queryTableField id="42" name="relative_1_phone_number_2_last_used_date" tableColumnId="40"/>
      <queryTableField id="43" dataBound="0" tableColumnId="4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>0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</richProperties>
  <richStyles>
    <rSty dxfid="0">
      <rpv i="0">0;-0;"None"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583AE1-F08A-49AF-AE65-36C9F5F65D9C}" name="AllData" displayName="AllData" ref="C4:U11" tableType="queryTable" totalsRowShown="0">
  <autoFilter ref="C4:U11" xr:uid="{55583AE1-F08A-49AF-AE65-36C9F5F65D9C}"/>
  <sortState xmlns:xlrd2="http://schemas.microsoft.com/office/spreadsheetml/2017/richdata2" ref="C5:U11">
    <sortCondition ref="T4:T11"/>
  </sortState>
  <tableColumns count="19">
    <tableColumn id="1" xr3:uid="{FE35685F-74C5-4D2E-BF64-3BF2F6D5EE2E}" uniqueName="1" name="decedent_info.Decedent" queryTableFieldId="1"/>
    <tableColumn id="5" xr3:uid="{935CC3A1-EF02-4C8F-A145-BBB9F5C6BAA7}" uniqueName="5" name="decedent_info.Address" queryTableFieldId="5"/>
    <tableColumn id="7" xr3:uid="{89156EF4-63B3-4E90-8A8B-89F07CC01D79}" uniqueName="7" name="decedent_info.City" queryTableFieldId="7"/>
    <tableColumn id="8" xr3:uid="{5C9EAF96-93F9-4B9D-A739-3863F82E565B}" uniqueName="8" name="decedent_info.State" queryTableFieldId="8"/>
    <tableColumn id="9" xr3:uid="{EA028EB1-1EA0-40D4-B09F-1D7249E25D45}" uniqueName="9" name="decedent_info.Zip" queryTableFieldId="9"/>
    <tableColumn id="11" xr3:uid="{CE99BB22-3F30-4113-91F9-AD3AF688E063}" uniqueName="11" name="fiduciary_info.Fiduciary 1" queryTableFieldId="11"/>
    <tableColumn id="14" xr3:uid="{822C93F0-E8AF-4CDB-8D5B-7B18C7D0CCA5}" uniqueName="14" name="fiduciary_info.Relationship" queryTableFieldId="14"/>
    <tableColumn id="16" xr3:uid="{8671DD20-71BE-461D-A9CB-349313D80569}" uniqueName="16" name="fiduciary_info.Address" queryTableFieldId="16"/>
    <tableColumn id="19" xr3:uid="{1836FECF-F7FB-45D7-B083-1FD44778E22E}" uniqueName="19" name="fiduciary_info.City" queryTableFieldId="19"/>
    <tableColumn id="20" xr3:uid="{E51891A5-B3E8-4AAF-94DD-99C39315067D}" uniqueName="20" name="fiduciary_info.State" queryTableFieldId="20"/>
    <tableColumn id="21" xr3:uid="{A5BA6A7A-7C5E-48E8-919D-C6AE074CEE2C}" uniqueName="21" name="fiduciary_info.Zip" queryTableFieldId="21"/>
    <tableColumn id="22" xr3:uid="{7362E9D0-1871-473F-8ED2-C700EB7805F8}" uniqueName="22" name="fiduciary_info.Telephone" queryTableFieldId="22"/>
    <tableColumn id="23" xr3:uid="{C3791395-344A-4B16-8FCC-295EDC852BD2}" uniqueName="23" name="county" queryTableFieldId="23"/>
    <tableColumn id="50" xr3:uid="{F6065B5D-C436-5240-8AAF-E852447C1E66}" uniqueName="50" name="exact_dial_Fiduciary 1_email_address" queryTableFieldId="59"/>
    <tableColumn id="35" xr3:uid="{2C7FFCA3-2D84-AD45-895B-31B2EE2DFBCE}" uniqueName="35" name="exact_dial_Fiduciary 1_phone_number_1" queryTableFieldId="44"/>
    <tableColumn id="38" xr3:uid="{683707F6-05F5-8B4C-9BE7-1447BCAB9A64}" uniqueName="38" name="exact_dial_Fiduciary 1_phone_number_2" queryTableFieldId="47"/>
    <tableColumn id="41" xr3:uid="{9A21223B-828D-B74F-B193-7352A03832AB}" uniqueName="41" name="exact_dial_Fiduciary 1_phone_number_3" queryTableFieldId="50"/>
    <tableColumn id="32" xr3:uid="{22D95671-999A-9444-89AF-1FD0D55CD44B}" uniqueName="32" name="estimated_value" queryTableFieldId="185"/>
    <tableColumn id="30" xr3:uid="{DBBAB795-6A64-450E-839A-5E3209DB9F64}" uniqueName="30" name="Data Date" queryTableField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FA901-0B85-4F29-812C-75E59197F56A}" name="Legacy_Data" displayName="Legacy_Data" ref="C4:AQ35" tableType="queryTable" totalsRowShown="0">
  <autoFilter ref="C4:AQ35" xr:uid="{B1CFA901-0B85-4F29-812C-75E59197F56A}">
    <filterColumn colId="40">
      <filters>
        <filter val="TRUE"/>
      </filters>
    </filterColumn>
  </autoFilter>
  <tableColumns count="41">
    <tableColumn id="7" xr3:uid="{8494E8CC-133E-4120-B6BD-928F468E64AE}" uniqueName="7" name="personId" queryTableFieldId="7"/>
    <tableColumn id="1" xr3:uid="{E20DA6B5-E93E-4B6D-98FD-D9DA4A9274BA}" uniqueName="1" name="first_name" queryTableFieldId="1"/>
    <tableColumn id="2" xr3:uid="{212ECEC7-FFD8-48C6-A55A-BF927934ABF0}" uniqueName="2" name="last_name" queryTableFieldId="2"/>
    <tableColumn id="3" xr3:uid="{5D4364B7-5335-4094-AAB5-30440C384A13}" uniqueName="3" name="middle_name" queryTableFieldId="3"/>
    <tableColumn id="4" xr3:uid="{C86560E0-D3B6-426E-A83A-832A97A283EF}" uniqueName="4" name="full_name" queryTableFieldId="4"/>
    <tableColumn id="5" xr3:uid="{5D84EFCE-7ED8-4F27-A949-52463E5E842F}" uniqueName="5" name="city" queryTableFieldId="5"/>
    <tableColumn id="8" xr3:uid="{608336E7-413B-4F24-AD59-F2B26133BE67}" uniqueName="8" name="county" queryTableFieldId="8"/>
    <tableColumn id="6" xr3:uid="{52578F8F-4F53-4F33-B423-4682EB1D6803}" uniqueName="6" name="state" queryTableFieldId="6"/>
    <tableColumn id="9" xr3:uid="{E2FC8598-D3AC-4AB3-AD05-878B99C74D54}" uniqueName="9" name="details_url" queryTableFieldId="11"/>
    <tableColumn id="10" xr3:uid="{AA491375-D4F3-4EA7-ACC8-810E9F583091}" uniqueName="10" name="current_address" queryTableFieldId="12"/>
    <tableColumn id="11" xr3:uid="{3A1AEE50-21A9-4922-A47C-1167A7DF431B}" uniqueName="11" name="relative_1_name" queryTableFieldId="13"/>
    <tableColumn id="12" xr3:uid="{8FBDFD94-1B00-46CC-99B5-B586A2B1A445}" uniqueName="12" name="relative_1_phone_number_1" queryTableFieldId="14"/>
    <tableColumn id="13" xr3:uid="{2BA5DB9B-63CB-4471-8232-C08269B8483A}" uniqueName="13" name="relative_1_phone_number_1_last_used_date" queryTableFieldId="15"/>
    <tableColumn id="14" xr3:uid="{959FB282-C3F0-4C3A-A601-D28CE518B68B}" uniqueName="14" name="relative_2_name" queryTableFieldId="16"/>
    <tableColumn id="15" xr3:uid="{3AB5B8B6-CBEB-47C0-9A10-BCD86E8C5CCE}" uniqueName="15" name="relative_2_phone_number_1" queryTableFieldId="17"/>
    <tableColumn id="16" xr3:uid="{E4C1A464-C85C-494B-9232-A6BBD00B0DF1}" uniqueName="16" name="relative_2_phone_number_1_last_used_date" queryTableFieldId="18"/>
    <tableColumn id="17" xr3:uid="{E936D48A-C8DD-4972-8843-70879FECE679}" uniqueName="17" name="relative_3_name" queryTableFieldId="19"/>
    <tableColumn id="18" xr3:uid="{30C77E9E-365D-4D60-92A9-36AA2641E916}" uniqueName="18" name="relative_3_phone_number_1" queryTableFieldId="20"/>
    <tableColumn id="19" xr3:uid="{DF46C54C-4C3F-42DB-9E29-8E383824EEF1}" uniqueName="19" name="relative_3_phone_number_1_last_used_date" queryTableFieldId="21"/>
    <tableColumn id="20" xr3:uid="{AB9E0257-6A16-4E58-95AE-1871D36E70D3}" uniqueName="20" name="relative_3_phone_number_2" queryTableFieldId="22"/>
    <tableColumn id="21" xr3:uid="{5486722B-EDE9-4B63-8AAF-BB91805449BE}" uniqueName="21" name="relative_3_phone_number_2_last_used_date" queryTableFieldId="23"/>
    <tableColumn id="22" xr3:uid="{C09D7AAC-93D7-43D9-8A5A-341485C9BE35}" uniqueName="22" name="ownerPropertyId" queryTableFieldId="24"/>
    <tableColumn id="23" xr3:uid="{C51B949D-2402-4DE3-9952-451714EDCF9B}" uniqueName="23" name="owner1Corporate" queryTableFieldId="25"/>
    <tableColumn id="24" xr3:uid="{CBCD1544-B124-4AC7-871E-422AC3C445D1}" uniqueName="24" name="owner1LastName" queryTableFieldId="26"/>
    <tableColumn id="25" xr3:uid="{0B86E01A-C388-4B61-9D2F-27C6E8FAA1FC}" uniqueName="25" name="owner1FirstName" queryTableFieldId="27"/>
    <tableColumn id="26" xr3:uid="{40037233-9E8D-4B1E-A46B-57EF7C14BD89}" uniqueName="26" name="owner1MiddleName" queryTableFieldId="28"/>
    <tableColumn id="27" xr3:uid="{9EA668E2-C7FE-4772-BFE8-6B8F623CD396}" uniqueName="27" name="owner1FullName" queryTableFieldId="29"/>
    <tableColumn id="28" xr3:uid="{86275FAE-0B47-489B-81BB-56539D981738}" uniqueName="28" name="ownerOccupancy" queryTableFieldId="30"/>
    <tableColumn id="29" xr3:uid="{1B031262-ED89-4D15-B1AB-593E9AF36924}" uniqueName="29" name="ownerType" queryTableFieldId="31"/>
    <tableColumn id="30" xr3:uid="{3E43262C-5BB1-42AD-8395-6D949DBAE61B}" uniqueName="30" name="currentOwner" queryTableFieldId="32"/>
    <tableColumn id="31" xr3:uid="{2001177A-BFBF-4738-A3C0-5936BD01955E}" uniqueName="31" name="ownerProperty" queryTableFieldId="33"/>
    <tableColumn id="32" xr3:uid="{469D04F9-977E-4FC4-9B80-7229CF97FFB9}" uniqueName="32" name="ownerNames" queryTableFieldId="34"/>
    <tableColumn id="33" xr3:uid="{F3CBAA6F-0439-4418-85C0-8D9641F7E1D2}" uniqueName="33" name="ownershipLength" queryTableFieldId="35"/>
    <tableColumn id="34" xr3:uid="{15F5A275-FB64-4DC8-B91E-3D300D4DB9D6}" uniqueName="34" name="ownership" queryTableFieldId="36"/>
    <tableColumn id="35" xr3:uid="{2E3C0BBA-F88E-41A7-A886-72D2D481FBAF}" uniqueName="35" name="ownerOccupied" queryTableFieldId="37"/>
    <tableColumn id="36" xr3:uid="{912B6716-34FF-4959-9911-3E951DB23E1C}" uniqueName="36" name="effectiveOwner1FullName" queryTableFieldId="38"/>
    <tableColumn id="37" xr3:uid="{BA101A9E-BF58-4D7E-AB62-598A749DDE02}" uniqueName="37" name="relative_2_phone_number_2" queryTableFieldId="39"/>
    <tableColumn id="38" xr3:uid="{D5165618-CF53-419E-A498-133804860DF2}" uniqueName="38" name="relative_2_phone_number_2_last_used_date" queryTableFieldId="40"/>
    <tableColumn id="39" xr3:uid="{DE1F43E6-AB91-407B-9822-BE39826D907B}" uniqueName="39" name="relative_1_phone_number_2" queryTableFieldId="41"/>
    <tableColumn id="40" xr3:uid="{8DC83A16-75BE-43E6-9583-3B5F0BF9E499}" uniqueName="40" name="relative_1_phone_number_2_last_used_date" queryTableFieldId="42"/>
    <tableColumn id="41" xr3:uid="{806B2F08-8B19-48BF-B08D-273C4CA44826}" uniqueName="41" name="Column1" queryTableFieldId="43" dataDxfId="0">
      <calculatedColumnFormula>AND(Legacy_Data[[#This Row],[first_name]]=Legacy_Data[[#This Row],[owner1FirstName]],Legacy_Data[[#This Row],[last_name]]=Legacy_Data[[#This Row],[owner1LastName]])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E4562-0E77-44C2-9207-DE59739690F7}">
  <sheetPr codeName="Sheet3"/>
  <dimension ref="C1:AE64"/>
  <sheetViews>
    <sheetView showGridLines="0" workbookViewId="0">
      <selection activeCell="C6" sqref="C6"/>
    </sheetView>
  </sheetViews>
  <sheetFormatPr defaultColWidth="8.81640625" defaultRowHeight="14.5" x14ac:dyDescent="0.35"/>
  <cols>
    <col min="3" max="3" width="54" bestFit="1" customWidth="1"/>
    <col min="5" max="5" width="24" bestFit="1" customWidth="1"/>
    <col min="6" max="6" width="22.6328125" bestFit="1" customWidth="1"/>
    <col min="7" max="7" width="19" bestFit="1" customWidth="1"/>
    <col min="8" max="8" width="20.26953125" bestFit="1" customWidth="1"/>
    <col min="9" max="9" width="18.36328125" bestFit="1" customWidth="1"/>
    <col min="10" max="10" width="24.453125" bestFit="1" customWidth="1"/>
    <col min="11" max="11" width="25.7265625" bestFit="1" customWidth="1"/>
    <col min="12" max="12" width="22" bestFit="1" customWidth="1"/>
    <col min="13" max="13" width="18.36328125" bestFit="1" customWidth="1"/>
    <col min="14" max="14" width="19.6328125" bestFit="1" customWidth="1"/>
    <col min="15" max="15" width="17.7265625" style="4" bestFit="1" customWidth="1"/>
    <col min="16" max="16" width="24.1796875" bestFit="1" customWidth="1"/>
    <col min="17" max="17" width="8.81640625" style="4" bestFit="1" customWidth="1"/>
    <col min="18" max="18" width="35" bestFit="1" customWidth="1"/>
    <col min="19" max="19" width="38" style="4" bestFit="1" customWidth="1"/>
    <col min="20" max="20" width="38" style="3" bestFit="1" customWidth="1"/>
    <col min="21" max="21" width="38" bestFit="1" customWidth="1"/>
    <col min="22" max="22" width="17.08984375" bestFit="1" customWidth="1"/>
    <col min="23" max="23" width="11.54296875" bestFit="1" customWidth="1"/>
    <col min="24" max="24" width="23.1796875" bestFit="1" customWidth="1"/>
    <col min="25" max="25" width="9" bestFit="1" customWidth="1"/>
    <col min="26" max="26" width="19.453125" style="3" bestFit="1" customWidth="1"/>
    <col min="27" max="27" width="26" style="3" bestFit="1" customWidth="1"/>
    <col min="28" max="28" width="21.81640625" style="3" bestFit="1" customWidth="1"/>
    <col min="29" max="29" width="20.81640625" style="3" bestFit="1" customWidth="1"/>
    <col min="30" max="30" width="18.36328125" style="3" bestFit="1" customWidth="1"/>
    <col min="31" max="31" width="14" style="3" bestFit="1" customWidth="1"/>
    <col min="32" max="32" width="33" bestFit="1" customWidth="1"/>
    <col min="33" max="33" width="36" bestFit="1" customWidth="1"/>
    <col min="34" max="34" width="48.6328125" bestFit="1" customWidth="1"/>
    <col min="35" max="35" width="36" bestFit="1" customWidth="1"/>
    <col min="36" max="36" width="48.6328125" bestFit="1" customWidth="1"/>
    <col min="37" max="37" width="36" bestFit="1" customWidth="1"/>
    <col min="38" max="38" width="48.6328125" bestFit="1" customWidth="1"/>
    <col min="39" max="39" width="16.453125" bestFit="1" customWidth="1"/>
    <col min="40" max="40" width="11.1796875" bestFit="1" customWidth="1"/>
    <col min="41" max="41" width="18.36328125" bestFit="1" customWidth="1"/>
    <col min="42" max="42" width="24.36328125" bestFit="1" customWidth="1"/>
    <col min="43" max="43" width="36" bestFit="1" customWidth="1"/>
    <col min="44" max="44" width="44.36328125" bestFit="1" customWidth="1"/>
    <col min="45" max="45" width="48.6328125" bestFit="1" customWidth="1"/>
    <col min="46" max="46" width="36" bestFit="1" customWidth="1"/>
    <col min="47" max="47" width="44.36328125" bestFit="1" customWidth="1"/>
    <col min="48" max="48" width="48.6328125" bestFit="1" customWidth="1"/>
    <col min="49" max="49" width="36" bestFit="1" customWidth="1"/>
    <col min="50" max="50" width="44.36328125" bestFit="1" customWidth="1"/>
    <col min="51" max="51" width="48.6328125" bestFit="1" customWidth="1"/>
    <col min="52" max="52" width="36" customWidth="1"/>
    <col min="53" max="53" width="44.36328125" bestFit="1" customWidth="1"/>
    <col min="54" max="54" width="48.6328125" bestFit="1" customWidth="1"/>
    <col min="55" max="55" width="36" customWidth="1"/>
    <col min="56" max="56" width="44.36328125" bestFit="1" customWidth="1"/>
    <col min="57" max="57" width="48.6328125" bestFit="1" customWidth="1"/>
    <col min="58" max="58" width="33" bestFit="1" customWidth="1"/>
    <col min="59" max="59" width="36" customWidth="1"/>
    <col min="60" max="60" width="44.36328125" bestFit="1" customWidth="1"/>
    <col min="61" max="61" width="48.6328125" bestFit="1" customWidth="1"/>
    <col min="62" max="62" width="14" bestFit="1" customWidth="1"/>
    <col min="63" max="63" width="36" customWidth="1"/>
    <col min="64" max="64" width="44.36328125" bestFit="1" customWidth="1"/>
    <col min="65" max="65" width="48.6328125" bestFit="1" customWidth="1"/>
    <col min="66" max="66" width="36" customWidth="1"/>
    <col min="67" max="67" width="44.36328125" bestFit="1" customWidth="1"/>
    <col min="68" max="68" width="48.6328125" bestFit="1" customWidth="1"/>
    <col min="69" max="69" width="36" customWidth="1"/>
    <col min="70" max="70" width="44.36328125" bestFit="1" customWidth="1"/>
    <col min="71" max="71" width="48.6328125" bestFit="1" customWidth="1"/>
    <col min="72" max="72" width="44.36328125" bestFit="1" customWidth="1"/>
    <col min="73" max="73" width="48.6328125" bestFit="1" customWidth="1"/>
  </cols>
  <sheetData>
    <row r="1" spans="3:31" x14ac:dyDescent="0.35">
      <c r="G1" s="4"/>
      <c r="H1" s="4"/>
    </row>
    <row r="2" spans="3:31" x14ac:dyDescent="0.35">
      <c r="G2" s="4"/>
      <c r="H2" s="4"/>
    </row>
    <row r="3" spans="3:31" ht="18.5" x14ac:dyDescent="0.35">
      <c r="C3" s="2" t="s">
        <v>19</v>
      </c>
      <c r="G3" s="4"/>
      <c r="H3" s="4"/>
    </row>
    <row r="4" spans="3:31" x14ac:dyDescent="0.35">
      <c r="C4" s="1" t="str" cm="1">
        <f t="array" aca="1" ref="C4" ca="1">FolderPath &amp;"Extracted Data"</f>
        <v>D:\Repositories\CourtRecordSearch\Extracted Data</v>
      </c>
      <c r="G4" s="4"/>
      <c r="H4" s="4"/>
    </row>
    <row r="5" spans="3:31" x14ac:dyDescent="0.35">
      <c r="C5" t="str" cm="1">
        <f t="array" aca="1" ref="C5" ca="1">FolderPath &amp; "legacy\Legacy Data"</f>
        <v>D:\Repositories\CourtRecordSearch\legacy\Legacy Data</v>
      </c>
      <c r="G5" s="4"/>
      <c r="H5" s="4"/>
    </row>
    <row r="6" spans="3:31" x14ac:dyDescent="0.35">
      <c r="F6" s="3"/>
      <c r="G6" s="4"/>
      <c r="H6" s="4"/>
    </row>
    <row r="7" spans="3:31" x14ac:dyDescent="0.35">
      <c r="Z7"/>
      <c r="AA7"/>
      <c r="AB7"/>
      <c r="AC7"/>
      <c r="AD7"/>
      <c r="AE7"/>
    </row>
    <row r="8" spans="3:31" x14ac:dyDescent="0.35">
      <c r="Z8"/>
      <c r="AA8"/>
      <c r="AB8"/>
      <c r="AC8"/>
      <c r="AD8"/>
      <c r="AE8"/>
    </row>
    <row r="9" spans="3:31" x14ac:dyDescent="0.35">
      <c r="Z9"/>
      <c r="AA9"/>
      <c r="AB9"/>
      <c r="AC9"/>
      <c r="AD9"/>
      <c r="AE9"/>
    </row>
    <row r="10" spans="3:31" x14ac:dyDescent="0.35">
      <c r="Z10"/>
      <c r="AA10"/>
      <c r="AB10"/>
      <c r="AC10"/>
      <c r="AD10"/>
      <c r="AE10"/>
    </row>
    <row r="11" spans="3:31" x14ac:dyDescent="0.35">
      <c r="Z11"/>
      <c r="AA11"/>
      <c r="AB11"/>
      <c r="AC11"/>
      <c r="AD11"/>
      <c r="AE11"/>
    </row>
    <row r="12" spans="3:31" x14ac:dyDescent="0.35">
      <c r="Z12"/>
      <c r="AA12"/>
      <c r="AB12"/>
      <c r="AC12"/>
      <c r="AD12"/>
      <c r="AE12"/>
    </row>
    <row r="13" spans="3:31" x14ac:dyDescent="0.35">
      <c r="Z13"/>
      <c r="AA13"/>
      <c r="AB13"/>
      <c r="AC13"/>
      <c r="AD13"/>
      <c r="AE13"/>
    </row>
    <row r="14" spans="3:31" x14ac:dyDescent="0.35">
      <c r="Z14"/>
      <c r="AA14"/>
      <c r="AB14"/>
      <c r="AC14"/>
      <c r="AD14"/>
      <c r="AE14"/>
    </row>
    <row r="15" spans="3:31" x14ac:dyDescent="0.35">
      <c r="Z15"/>
      <c r="AA15"/>
      <c r="AB15"/>
      <c r="AC15"/>
      <c r="AD15"/>
      <c r="AE15"/>
    </row>
    <row r="16" spans="3:31" x14ac:dyDescent="0.35">
      <c r="Z16"/>
      <c r="AA16"/>
      <c r="AB16"/>
      <c r="AC16"/>
      <c r="AD16"/>
      <c r="AE16"/>
    </row>
    <row r="17" spans="7:31" x14ac:dyDescent="0.35">
      <c r="Z17"/>
      <c r="AA17"/>
      <c r="AB17"/>
      <c r="AC17"/>
      <c r="AD17"/>
      <c r="AE17"/>
    </row>
    <row r="18" spans="7:31" x14ac:dyDescent="0.35">
      <c r="Z18"/>
      <c r="AA18"/>
      <c r="AB18"/>
      <c r="AC18"/>
      <c r="AD18"/>
      <c r="AE18"/>
    </row>
    <row r="19" spans="7:31" x14ac:dyDescent="0.35">
      <c r="Z19"/>
      <c r="AA19"/>
      <c r="AB19"/>
      <c r="AC19"/>
      <c r="AD19"/>
      <c r="AE19"/>
    </row>
    <row r="20" spans="7:31" x14ac:dyDescent="0.35">
      <c r="G20" s="5"/>
      <c r="Z20"/>
      <c r="AA20"/>
      <c r="AB20"/>
      <c r="AC20"/>
      <c r="AD20"/>
      <c r="AE20"/>
    </row>
    <row r="21" spans="7:31" x14ac:dyDescent="0.35">
      <c r="Z21"/>
      <c r="AA21"/>
      <c r="AB21"/>
      <c r="AC21"/>
      <c r="AD21"/>
      <c r="AE21"/>
    </row>
    <row r="22" spans="7:31" x14ac:dyDescent="0.35">
      <c r="Z22"/>
      <c r="AA22"/>
      <c r="AB22"/>
      <c r="AC22"/>
      <c r="AD22"/>
      <c r="AE22"/>
    </row>
    <row r="23" spans="7:31" x14ac:dyDescent="0.35">
      <c r="Z23"/>
      <c r="AA23"/>
      <c r="AB23"/>
      <c r="AC23"/>
      <c r="AD23"/>
      <c r="AE23"/>
    </row>
    <row r="24" spans="7:31" x14ac:dyDescent="0.35">
      <c r="Z24"/>
      <c r="AA24"/>
      <c r="AB24"/>
      <c r="AC24"/>
      <c r="AD24"/>
      <c r="AE24"/>
    </row>
    <row r="25" spans="7:31" x14ac:dyDescent="0.35">
      <c r="Z25"/>
      <c r="AA25"/>
      <c r="AB25"/>
      <c r="AC25"/>
      <c r="AD25"/>
      <c r="AE25"/>
    </row>
    <row r="26" spans="7:31" x14ac:dyDescent="0.35">
      <c r="Z26"/>
      <c r="AA26"/>
      <c r="AB26"/>
      <c r="AC26"/>
      <c r="AD26"/>
      <c r="AE26"/>
    </row>
    <row r="27" spans="7:31" x14ac:dyDescent="0.35">
      <c r="Z27"/>
      <c r="AA27"/>
      <c r="AB27"/>
      <c r="AC27"/>
      <c r="AD27"/>
      <c r="AE27"/>
    </row>
    <row r="28" spans="7:31" x14ac:dyDescent="0.35">
      <c r="Z28"/>
      <c r="AA28"/>
      <c r="AB28"/>
      <c r="AC28"/>
      <c r="AD28"/>
      <c r="AE28"/>
    </row>
    <row r="29" spans="7:31" x14ac:dyDescent="0.35">
      <c r="Z29"/>
      <c r="AA29"/>
      <c r="AB29"/>
      <c r="AC29"/>
      <c r="AD29"/>
      <c r="AE29"/>
    </row>
    <row r="30" spans="7:31" x14ac:dyDescent="0.35">
      <c r="Z30"/>
      <c r="AA30"/>
      <c r="AB30"/>
      <c r="AC30"/>
      <c r="AD30"/>
      <c r="AE30"/>
    </row>
    <row r="31" spans="7:31" x14ac:dyDescent="0.35">
      <c r="Z31"/>
      <c r="AA31"/>
      <c r="AB31"/>
      <c r="AC31"/>
      <c r="AD31"/>
      <c r="AE31"/>
    </row>
    <row r="32" spans="7:31" x14ac:dyDescent="0.35">
      <c r="Z32"/>
      <c r="AA32"/>
      <c r="AB32"/>
      <c r="AC32"/>
      <c r="AD32"/>
      <c r="AE32"/>
    </row>
    <row r="33" spans="26:31" x14ac:dyDescent="0.35">
      <c r="Z33"/>
      <c r="AA33"/>
      <c r="AB33"/>
      <c r="AC33"/>
      <c r="AD33"/>
      <c r="AE33"/>
    </row>
    <row r="34" spans="26:31" x14ac:dyDescent="0.35">
      <c r="Z34"/>
      <c r="AA34"/>
      <c r="AB34"/>
      <c r="AC34"/>
      <c r="AD34"/>
      <c r="AE34"/>
    </row>
    <row r="35" spans="26:31" x14ac:dyDescent="0.35">
      <c r="Z35"/>
      <c r="AA35"/>
      <c r="AB35"/>
      <c r="AC35"/>
      <c r="AD35"/>
      <c r="AE35"/>
    </row>
    <row r="36" spans="26:31" x14ac:dyDescent="0.35">
      <c r="Z36"/>
      <c r="AA36"/>
      <c r="AB36"/>
      <c r="AC36"/>
      <c r="AD36"/>
      <c r="AE36"/>
    </row>
    <row r="37" spans="26:31" x14ac:dyDescent="0.35">
      <c r="Z37"/>
      <c r="AA37"/>
      <c r="AB37"/>
      <c r="AC37"/>
      <c r="AD37"/>
      <c r="AE37"/>
    </row>
    <row r="38" spans="26:31" x14ac:dyDescent="0.35">
      <c r="Z38"/>
      <c r="AA38"/>
      <c r="AB38"/>
      <c r="AC38"/>
      <c r="AD38"/>
      <c r="AE38"/>
    </row>
    <row r="39" spans="26:31" x14ac:dyDescent="0.35">
      <c r="Z39"/>
      <c r="AA39"/>
      <c r="AB39"/>
      <c r="AC39"/>
      <c r="AD39"/>
      <c r="AE39"/>
    </row>
    <row r="40" spans="26:31" x14ac:dyDescent="0.35">
      <c r="Z40"/>
      <c r="AA40"/>
      <c r="AB40"/>
      <c r="AC40"/>
      <c r="AD40"/>
      <c r="AE40"/>
    </row>
    <row r="41" spans="26:31" x14ac:dyDescent="0.35">
      <c r="Z41"/>
      <c r="AA41"/>
      <c r="AB41"/>
      <c r="AC41"/>
      <c r="AD41"/>
      <c r="AE41"/>
    </row>
    <row r="42" spans="26:31" x14ac:dyDescent="0.35">
      <c r="Z42"/>
      <c r="AA42"/>
      <c r="AB42"/>
      <c r="AC42"/>
      <c r="AD42"/>
      <c r="AE42"/>
    </row>
    <row r="43" spans="26:31" x14ac:dyDescent="0.35">
      <c r="Z43"/>
      <c r="AA43"/>
      <c r="AB43"/>
      <c r="AC43"/>
      <c r="AD43"/>
      <c r="AE43"/>
    </row>
    <row r="44" spans="26:31" x14ac:dyDescent="0.35">
      <c r="Z44"/>
      <c r="AA44"/>
      <c r="AB44"/>
      <c r="AC44"/>
      <c r="AD44"/>
      <c r="AE44"/>
    </row>
    <row r="45" spans="26:31" x14ac:dyDescent="0.35">
      <c r="Z45"/>
      <c r="AA45"/>
      <c r="AB45"/>
      <c r="AC45"/>
      <c r="AD45"/>
      <c r="AE45"/>
    </row>
    <row r="46" spans="26:31" x14ac:dyDescent="0.35">
      <c r="Z46"/>
      <c r="AA46"/>
      <c r="AB46"/>
      <c r="AC46"/>
      <c r="AD46"/>
      <c r="AE46"/>
    </row>
    <row r="47" spans="26:31" x14ac:dyDescent="0.35">
      <c r="Z47"/>
      <c r="AA47"/>
      <c r="AB47"/>
      <c r="AC47"/>
      <c r="AD47"/>
      <c r="AE47"/>
    </row>
    <row r="48" spans="26:31" x14ac:dyDescent="0.35">
      <c r="Z48"/>
      <c r="AA48"/>
      <c r="AB48"/>
      <c r="AC48"/>
      <c r="AD48"/>
      <c r="AE48"/>
    </row>
    <row r="49" spans="26:31" x14ac:dyDescent="0.35">
      <c r="Z49"/>
      <c r="AA49"/>
      <c r="AB49"/>
      <c r="AC49"/>
      <c r="AD49"/>
      <c r="AE49"/>
    </row>
    <row r="50" spans="26:31" x14ac:dyDescent="0.35">
      <c r="Z50"/>
      <c r="AA50"/>
      <c r="AB50"/>
      <c r="AC50"/>
      <c r="AD50"/>
      <c r="AE50"/>
    </row>
    <row r="51" spans="26:31" x14ac:dyDescent="0.35">
      <c r="Z51"/>
      <c r="AA51"/>
      <c r="AB51"/>
      <c r="AC51"/>
      <c r="AD51"/>
      <c r="AE51"/>
    </row>
    <row r="52" spans="26:31" x14ac:dyDescent="0.35">
      <c r="Z52"/>
      <c r="AA52"/>
      <c r="AB52"/>
      <c r="AC52"/>
      <c r="AD52"/>
      <c r="AE52"/>
    </row>
    <row r="53" spans="26:31" x14ac:dyDescent="0.35">
      <c r="Z53"/>
      <c r="AA53"/>
      <c r="AB53"/>
      <c r="AC53"/>
      <c r="AD53"/>
      <c r="AE53"/>
    </row>
    <row r="54" spans="26:31" x14ac:dyDescent="0.35">
      <c r="Z54"/>
      <c r="AA54"/>
      <c r="AB54"/>
      <c r="AC54"/>
      <c r="AD54"/>
      <c r="AE54"/>
    </row>
    <row r="55" spans="26:31" x14ac:dyDescent="0.35">
      <c r="Z55"/>
      <c r="AA55"/>
      <c r="AB55"/>
      <c r="AC55"/>
      <c r="AD55"/>
      <c r="AE55"/>
    </row>
    <row r="56" spans="26:31" x14ac:dyDescent="0.35">
      <c r="Z56"/>
      <c r="AA56"/>
      <c r="AB56"/>
      <c r="AC56"/>
      <c r="AD56"/>
      <c r="AE56"/>
    </row>
    <row r="57" spans="26:31" x14ac:dyDescent="0.35">
      <c r="Z57"/>
      <c r="AA57"/>
      <c r="AB57"/>
      <c r="AC57"/>
      <c r="AD57"/>
      <c r="AE57"/>
    </row>
    <row r="58" spans="26:31" x14ac:dyDescent="0.35">
      <c r="Z58"/>
      <c r="AA58"/>
      <c r="AB58"/>
      <c r="AC58"/>
      <c r="AD58"/>
      <c r="AE58"/>
    </row>
    <row r="59" spans="26:31" x14ac:dyDescent="0.35">
      <c r="Z59"/>
      <c r="AA59"/>
      <c r="AB59"/>
      <c r="AC59"/>
      <c r="AD59"/>
      <c r="AE59"/>
    </row>
    <row r="60" spans="26:31" x14ac:dyDescent="0.35">
      <c r="Z60"/>
      <c r="AA60"/>
      <c r="AB60"/>
      <c r="AC60"/>
      <c r="AD60"/>
      <c r="AE60"/>
    </row>
    <row r="61" spans="26:31" x14ac:dyDescent="0.35">
      <c r="Z61"/>
      <c r="AA61"/>
      <c r="AB61"/>
      <c r="AC61"/>
      <c r="AD61"/>
      <c r="AE61"/>
    </row>
    <row r="62" spans="26:31" x14ac:dyDescent="0.35">
      <c r="Z62"/>
      <c r="AA62"/>
      <c r="AB62"/>
      <c r="AC62"/>
      <c r="AD62"/>
      <c r="AE62"/>
    </row>
    <row r="63" spans="26:31" x14ac:dyDescent="0.35">
      <c r="Z63"/>
      <c r="AA63"/>
      <c r="AB63"/>
      <c r="AC63"/>
      <c r="AD63"/>
      <c r="AE63"/>
    </row>
    <row r="64" spans="26:31" x14ac:dyDescent="0.35">
      <c r="Z64"/>
      <c r="AA64"/>
      <c r="AB64"/>
      <c r="AC64"/>
      <c r="AD64"/>
      <c r="AE64"/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44FD6-B964-4537-A8D6-FB294DCF93A6}">
  <sheetPr codeName="CourtsWebsiteDataSheet"/>
  <dimension ref="C1:U11"/>
  <sheetViews>
    <sheetView showGridLines="0" workbookViewId="0">
      <selection activeCell="D21" sqref="D21"/>
    </sheetView>
  </sheetViews>
  <sheetFormatPr defaultRowHeight="14.5" x14ac:dyDescent="0.35"/>
  <cols>
    <col min="3" max="3" width="24" bestFit="1" customWidth="1"/>
    <col min="4" max="4" width="22.6328125" bestFit="1" customWidth="1"/>
    <col min="5" max="5" width="19" bestFit="1" customWidth="1"/>
    <col min="6" max="6" width="20.26953125" bestFit="1" customWidth="1"/>
    <col min="7" max="7" width="18.36328125" bestFit="1" customWidth="1"/>
    <col min="8" max="8" width="24.453125" bestFit="1" customWidth="1"/>
    <col min="9" max="9" width="25.7265625" bestFit="1" customWidth="1"/>
    <col min="10" max="10" width="22" bestFit="1" customWidth="1"/>
    <col min="11" max="11" width="18.36328125" bestFit="1" customWidth="1"/>
    <col min="12" max="12" width="19.6328125" bestFit="1" customWidth="1"/>
    <col min="13" max="13" width="17.7265625" bestFit="1" customWidth="1"/>
    <col min="14" max="14" width="24.1796875" bestFit="1" customWidth="1"/>
    <col min="15" max="15" width="8.81640625" bestFit="1" customWidth="1"/>
    <col min="16" max="16" width="35" bestFit="1" customWidth="1"/>
    <col min="17" max="19" width="38" bestFit="1" customWidth="1"/>
    <col min="20" max="20" width="17.08984375" bestFit="1" customWidth="1"/>
    <col min="21" max="21" width="11.54296875" bestFit="1" customWidth="1"/>
  </cols>
  <sheetData>
    <row r="1" spans="3:21" ht="19.5" customHeight="1" x14ac:dyDescent="0.35"/>
    <row r="2" spans="3:21" ht="22" customHeight="1" x14ac:dyDescent="0.35"/>
    <row r="3" spans="3:21" ht="22" customHeight="1" x14ac:dyDescent="0.35"/>
    <row r="4" spans="3:21" x14ac:dyDescent="0.35">
      <c r="C4" t="s">
        <v>0</v>
      </c>
      <c r="D4" t="s">
        <v>1</v>
      </c>
      <c r="E4" t="s">
        <v>2</v>
      </c>
      <c r="F4" t="s">
        <v>3</v>
      </c>
      <c r="G4" t="s">
        <v>4</v>
      </c>
      <c r="H4" t="s">
        <v>5</v>
      </c>
      <c r="I4" t="s">
        <v>6</v>
      </c>
      <c r="J4" t="s">
        <v>7</v>
      </c>
      <c r="K4" t="s">
        <v>8</v>
      </c>
      <c r="L4" t="s">
        <v>9</v>
      </c>
      <c r="M4" t="s">
        <v>10</v>
      </c>
      <c r="N4" t="s">
        <v>11</v>
      </c>
      <c r="O4" t="s">
        <v>18</v>
      </c>
      <c r="P4" t="s">
        <v>30</v>
      </c>
      <c r="Q4" t="s">
        <v>27</v>
      </c>
      <c r="R4" t="s">
        <v>28</v>
      </c>
      <c r="S4" t="s">
        <v>29</v>
      </c>
      <c r="T4" t="s">
        <v>32</v>
      </c>
      <c r="U4" t="s">
        <v>20</v>
      </c>
    </row>
    <row r="5" spans="3:21" x14ac:dyDescent="0.35">
      <c r="C5" t="s">
        <v>52</v>
      </c>
      <c r="D5" t="s">
        <v>53</v>
      </c>
      <c r="E5" t="s">
        <v>15</v>
      </c>
      <c r="F5" t="s">
        <v>13</v>
      </c>
      <c r="G5" t="s">
        <v>16</v>
      </c>
      <c r="H5" t="s">
        <v>54</v>
      </c>
      <c r="I5" t="s">
        <v>14</v>
      </c>
      <c r="J5" t="s">
        <v>53</v>
      </c>
      <c r="K5" t="s">
        <v>15</v>
      </c>
      <c r="L5" t="s">
        <v>13</v>
      </c>
      <c r="M5" t="s">
        <v>16</v>
      </c>
      <c r="N5" t="s">
        <v>55</v>
      </c>
      <c r="O5" t="s">
        <v>31</v>
      </c>
      <c r="T5">
        <v>195000</v>
      </c>
      <c r="U5" t="s">
        <v>37</v>
      </c>
    </row>
    <row r="6" spans="3:21" x14ac:dyDescent="0.35">
      <c r="C6" t="s">
        <v>33</v>
      </c>
      <c r="D6" t="s">
        <v>34</v>
      </c>
      <c r="E6" t="s">
        <v>25</v>
      </c>
      <c r="F6" t="s">
        <v>13</v>
      </c>
      <c r="G6" t="s">
        <v>26</v>
      </c>
      <c r="H6" t="s">
        <v>35</v>
      </c>
      <c r="I6" t="s">
        <v>14</v>
      </c>
      <c r="J6" t="s">
        <v>34</v>
      </c>
      <c r="K6" t="s">
        <v>25</v>
      </c>
      <c r="L6" t="s">
        <v>13</v>
      </c>
      <c r="M6" t="s">
        <v>26</v>
      </c>
      <c r="N6" t="s">
        <v>36</v>
      </c>
      <c r="O6" t="s">
        <v>31</v>
      </c>
      <c r="T6">
        <v>245000</v>
      </c>
      <c r="U6" t="s">
        <v>37</v>
      </c>
    </row>
    <row r="7" spans="3:21" x14ac:dyDescent="0.35">
      <c r="C7" t="s">
        <v>45</v>
      </c>
      <c r="D7" t="s">
        <v>46</v>
      </c>
      <c r="E7" t="s">
        <v>25</v>
      </c>
      <c r="F7" t="s">
        <v>13</v>
      </c>
      <c r="G7" t="s">
        <v>26</v>
      </c>
      <c r="H7" t="s">
        <v>47</v>
      </c>
      <c r="I7" t="s">
        <v>21</v>
      </c>
      <c r="J7" t="s">
        <v>48</v>
      </c>
      <c r="K7" t="s">
        <v>49</v>
      </c>
      <c r="L7" t="s">
        <v>13</v>
      </c>
      <c r="M7" t="s">
        <v>23</v>
      </c>
      <c r="N7" t="s">
        <v>50</v>
      </c>
      <c r="O7" t="s">
        <v>31</v>
      </c>
      <c r="T7">
        <v>329000</v>
      </c>
      <c r="U7" t="s">
        <v>37</v>
      </c>
    </row>
    <row r="8" spans="3:21" x14ac:dyDescent="0.35">
      <c r="C8" t="s">
        <v>51</v>
      </c>
      <c r="D8" t="s">
        <v>46</v>
      </c>
      <c r="E8" t="s">
        <v>25</v>
      </c>
      <c r="F8" t="s">
        <v>13</v>
      </c>
      <c r="G8" t="s">
        <v>26</v>
      </c>
      <c r="H8" t="s">
        <v>47</v>
      </c>
      <c r="I8" t="s">
        <v>21</v>
      </c>
      <c r="J8" t="s">
        <v>48</v>
      </c>
      <c r="K8" t="s">
        <v>49</v>
      </c>
      <c r="L8" t="s">
        <v>13</v>
      </c>
      <c r="M8" t="s">
        <v>23</v>
      </c>
      <c r="N8" t="s">
        <v>50</v>
      </c>
      <c r="O8" t="s">
        <v>31</v>
      </c>
      <c r="T8">
        <v>329000</v>
      </c>
      <c r="U8" t="s">
        <v>37</v>
      </c>
    </row>
    <row r="9" spans="3:21" x14ac:dyDescent="0.35">
      <c r="C9" t="s">
        <v>38</v>
      </c>
      <c r="D9" t="s">
        <v>39</v>
      </c>
      <c r="E9" t="s">
        <v>40</v>
      </c>
      <c r="F9" t="s">
        <v>13</v>
      </c>
      <c r="G9" t="s">
        <v>41</v>
      </c>
      <c r="H9" t="s">
        <v>42</v>
      </c>
      <c r="I9" t="s">
        <v>24</v>
      </c>
      <c r="J9" t="s">
        <v>43</v>
      </c>
      <c r="K9" t="s">
        <v>22</v>
      </c>
      <c r="L9" t="s">
        <v>12</v>
      </c>
      <c r="N9" t="s">
        <v>44</v>
      </c>
      <c r="O9" t="s">
        <v>31</v>
      </c>
      <c r="T9">
        <v>400000</v>
      </c>
      <c r="U9" t="s">
        <v>37</v>
      </c>
    </row>
    <row r="10" spans="3:21" x14ac:dyDescent="0.35">
      <c r="C10" t="s">
        <v>56</v>
      </c>
      <c r="D10" t="s">
        <v>57</v>
      </c>
      <c r="E10" t="s">
        <v>17</v>
      </c>
      <c r="F10" t="s">
        <v>13</v>
      </c>
      <c r="G10" t="s">
        <v>58</v>
      </c>
      <c r="H10" t="s">
        <v>59</v>
      </c>
      <c r="I10" t="s">
        <v>14</v>
      </c>
      <c r="J10" t="s">
        <v>57</v>
      </c>
      <c r="K10" t="s">
        <v>17</v>
      </c>
      <c r="L10" t="s">
        <v>13</v>
      </c>
      <c r="M10" t="s">
        <v>58</v>
      </c>
      <c r="N10" t="s">
        <v>60</v>
      </c>
      <c r="O10" t="s">
        <v>31</v>
      </c>
      <c r="T10">
        <v>581000</v>
      </c>
      <c r="U10" t="s">
        <v>37</v>
      </c>
    </row>
    <row r="11" spans="3:21" x14ac:dyDescent="0.35">
      <c r="C11" t="s">
        <v>61</v>
      </c>
      <c r="D11" t="s">
        <v>62</v>
      </c>
      <c r="E11" t="s">
        <v>22</v>
      </c>
      <c r="F11" t="s">
        <v>13</v>
      </c>
      <c r="G11" t="s">
        <v>23</v>
      </c>
      <c r="H11" t="s">
        <v>63</v>
      </c>
      <c r="I11" t="s">
        <v>64</v>
      </c>
      <c r="J11" t="s">
        <v>62</v>
      </c>
      <c r="K11" t="s">
        <v>22</v>
      </c>
      <c r="L11" t="s">
        <v>13</v>
      </c>
      <c r="M11" t="s">
        <v>23</v>
      </c>
      <c r="N11" t="s">
        <v>65</v>
      </c>
      <c r="O11" t="s">
        <v>31</v>
      </c>
      <c r="U11" t="s">
        <v>37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EA87-7AFC-403E-A35B-6304803B1253}">
  <sheetPr codeName="Sheet2"/>
  <dimension ref="C4:CG85"/>
  <sheetViews>
    <sheetView showGridLines="0" tabSelected="1" workbookViewId="0">
      <selection activeCell="G28" sqref="G28"/>
    </sheetView>
  </sheetViews>
  <sheetFormatPr defaultRowHeight="14.5" x14ac:dyDescent="0.35"/>
  <cols>
    <col min="3" max="3" width="10.54296875" bestFit="1" customWidth="1"/>
    <col min="4" max="4" width="12.1796875" bestFit="1" customWidth="1"/>
    <col min="5" max="5" width="11.81640625" bestFit="1" customWidth="1"/>
    <col min="6" max="6" width="14.54296875" bestFit="1" customWidth="1"/>
    <col min="7" max="7" width="26.81640625" bestFit="1" customWidth="1"/>
    <col min="8" max="8" width="11" bestFit="1" customWidth="1"/>
    <col min="9" max="9" width="8.81640625" bestFit="1" customWidth="1"/>
    <col min="10" max="10" width="7.36328125" bestFit="1" customWidth="1"/>
    <col min="11" max="11" width="80.7265625" hidden="1" customWidth="1"/>
    <col min="12" max="12" width="54.26953125" hidden="1" customWidth="1"/>
    <col min="13" max="13" width="20.36328125" hidden="1" customWidth="1"/>
    <col min="14" max="14" width="27.7265625" hidden="1" customWidth="1"/>
    <col min="15" max="15" width="41.81640625" hidden="1" customWidth="1"/>
    <col min="16" max="16" width="18.90625" hidden="1" customWidth="1"/>
    <col min="17" max="17" width="27.7265625" hidden="1" customWidth="1"/>
    <col min="18" max="18" width="41.81640625" hidden="1" customWidth="1"/>
    <col min="19" max="19" width="22" hidden="1" customWidth="1"/>
    <col min="20" max="20" width="27.7265625" hidden="1" customWidth="1"/>
    <col min="21" max="21" width="41.81640625" hidden="1" customWidth="1"/>
    <col min="22" max="22" width="27.7265625" hidden="1" customWidth="1"/>
    <col min="23" max="23" width="41.81640625" hidden="1" customWidth="1"/>
    <col min="24" max="24" width="17.54296875" bestFit="1" customWidth="1"/>
    <col min="25" max="25" width="18.08984375" bestFit="1" customWidth="1"/>
    <col min="26" max="26" width="25.36328125" bestFit="1" customWidth="1"/>
    <col min="27" max="27" width="18.08984375" bestFit="1" customWidth="1"/>
    <col min="28" max="28" width="20.36328125" bestFit="1" customWidth="1"/>
    <col min="29" max="29" width="35.26953125" bestFit="1" customWidth="1"/>
    <col min="30" max="30" width="19" bestFit="1" customWidth="1"/>
    <col min="31" max="31" width="12.453125" bestFit="1" customWidth="1"/>
    <col min="32" max="32" width="14.90625" bestFit="1" customWidth="1"/>
    <col min="33" max="33" width="15.90625" bestFit="1" customWidth="1"/>
    <col min="34" max="34" width="38.7265625" bestFit="1" customWidth="1"/>
    <col min="35" max="35" width="17.6328125" bestFit="1" customWidth="1"/>
    <col min="36" max="36" width="11.90625" bestFit="1" customWidth="1"/>
    <col min="37" max="37" width="16.26953125" bestFit="1" customWidth="1"/>
    <col min="38" max="38" width="35.26953125" bestFit="1" customWidth="1"/>
    <col min="39" max="39" width="27.7265625" hidden="1" customWidth="1"/>
    <col min="40" max="40" width="41.81640625" hidden="1" customWidth="1"/>
    <col min="41" max="41" width="27.7265625" hidden="1" customWidth="1"/>
    <col min="42" max="42" width="41.81640625" hidden="1" customWidth="1"/>
    <col min="44" max="44" width="4.81640625" bestFit="1" customWidth="1"/>
    <col min="45" max="45" width="10.54296875" bestFit="1" customWidth="1"/>
    <col min="46" max="46" width="14.1796875" bestFit="1" customWidth="1"/>
    <col min="47" max="47" width="24.453125" bestFit="1" customWidth="1"/>
    <col min="48" max="48" width="14.54296875" bestFit="1" customWidth="1"/>
    <col min="49" max="49" width="31.08984375" bestFit="1" customWidth="1"/>
    <col min="50" max="50" width="12.6328125" bestFit="1" customWidth="1"/>
    <col min="53" max="53" width="96.54296875" bestFit="1" customWidth="1"/>
  </cols>
  <sheetData>
    <row r="4" spans="3:85" x14ac:dyDescent="0.35">
      <c r="C4" t="s">
        <v>170</v>
      </c>
      <c r="D4" t="s">
        <v>66</v>
      </c>
      <c r="E4" t="s">
        <v>67</v>
      </c>
      <c r="F4" t="s">
        <v>68</v>
      </c>
      <c r="G4" t="s">
        <v>69</v>
      </c>
      <c r="H4" t="s">
        <v>70</v>
      </c>
      <c r="I4" t="s">
        <v>18</v>
      </c>
      <c r="J4" t="s">
        <v>71</v>
      </c>
      <c r="K4" t="s">
        <v>172</v>
      </c>
      <c r="L4" t="s">
        <v>199</v>
      </c>
      <c r="M4" t="s">
        <v>237</v>
      </c>
      <c r="N4" t="s">
        <v>238</v>
      </c>
      <c r="O4" t="s">
        <v>239</v>
      </c>
      <c r="P4" t="s">
        <v>240</v>
      </c>
      <c r="Q4" t="s">
        <v>241</v>
      </c>
      <c r="R4" t="s">
        <v>242</v>
      </c>
      <c r="S4" t="s">
        <v>243</v>
      </c>
      <c r="T4" t="s">
        <v>244</v>
      </c>
      <c r="U4" t="s">
        <v>245</v>
      </c>
      <c r="V4" t="s">
        <v>246</v>
      </c>
      <c r="W4" t="s">
        <v>247</v>
      </c>
      <c r="X4" t="s">
        <v>248</v>
      </c>
      <c r="Y4" t="s">
        <v>249</v>
      </c>
      <c r="Z4" t="s">
        <v>250</v>
      </c>
      <c r="AA4" t="s">
        <v>251</v>
      </c>
      <c r="AB4" t="s">
        <v>252</v>
      </c>
      <c r="AC4" t="s">
        <v>253</v>
      </c>
      <c r="AD4" t="s">
        <v>254</v>
      </c>
      <c r="AE4" t="s">
        <v>255</v>
      </c>
      <c r="AF4" t="s">
        <v>256</v>
      </c>
      <c r="AG4" t="s">
        <v>257</v>
      </c>
      <c r="AH4" t="s">
        <v>258</v>
      </c>
      <c r="AI4" t="s">
        <v>259</v>
      </c>
      <c r="AJ4" t="s">
        <v>260</v>
      </c>
      <c r="AK4" t="s">
        <v>261</v>
      </c>
      <c r="AL4" t="s">
        <v>262</v>
      </c>
      <c r="AM4" t="s">
        <v>263</v>
      </c>
      <c r="AN4" t="s">
        <v>264</v>
      </c>
      <c r="AO4" t="s">
        <v>265</v>
      </c>
      <c r="AP4" t="s">
        <v>266</v>
      </c>
      <c r="AQ4" t="s">
        <v>236</v>
      </c>
      <c r="AR4" t="str" cm="1">
        <f t="array" ref="AR4:CG8">_xlfn._xlws.PY(0,0,Legacy_Data[#All])</f>
        <v/>
      </c>
      <c r="AS4" t="str">
        <v>personId</v>
      </c>
      <c r="AT4" t="str">
        <v>first_name</v>
      </c>
      <c r="AU4" t="str">
        <v>last_name</v>
      </c>
      <c r="AV4" t="str">
        <v>middle_name</v>
      </c>
      <c r="AW4" t="str">
        <v>full_name</v>
      </c>
      <c r="AX4" t="str">
        <v>city</v>
      </c>
      <c r="AY4" t="str">
        <v>county</v>
      </c>
      <c r="AZ4" t="str">
        <v>state</v>
      </c>
      <c r="BA4" t="str">
        <v>details_url</v>
      </c>
      <c r="BB4" t="str">
        <v>current_address</v>
      </c>
      <c r="BC4" t="str">
        <v>relative_1_name</v>
      </c>
      <c r="BD4" t="str">
        <v>relative_1_phone_number_1</v>
      </c>
      <c r="BE4" t="str">
        <v>relative_1_phone_number_1_last_used_date</v>
      </c>
      <c r="BF4" t="str">
        <v>relative_2_name</v>
      </c>
      <c r="BG4" t="str">
        <v>relative_2_phone_number_1</v>
      </c>
      <c r="BH4" t="str">
        <v>relative_2_phone_number_1_last_used_date</v>
      </c>
      <c r="BI4" t="str">
        <v>relative_3_name</v>
      </c>
      <c r="BJ4" t="str">
        <v>relative_3_phone_number_1</v>
      </c>
      <c r="BK4" t="str">
        <v>relative_3_phone_number_1_last_used_date</v>
      </c>
      <c r="BL4" t="str">
        <v>relative_3_phone_number_2</v>
      </c>
      <c r="BM4" t="str">
        <v>relative_3_phone_number_2_last_used_date</v>
      </c>
      <c r="BN4" t="str">
        <v>ownerPropertyId</v>
      </c>
      <c r="BO4" t="str">
        <v>owner1Corporate</v>
      </c>
      <c r="BP4" t="str">
        <v>owner1LastName</v>
      </c>
      <c r="BQ4" t="str">
        <v>owner1FirstName</v>
      </c>
      <c r="BR4" t="str">
        <v>owner1MiddleName</v>
      </c>
      <c r="BS4" t="str">
        <v>owner1FullName</v>
      </c>
      <c r="BT4" t="str">
        <v>ownerOccupancy</v>
      </c>
      <c r="BU4" t="str">
        <v>ownerType</v>
      </c>
      <c r="BV4" t="str">
        <v>currentOwner</v>
      </c>
      <c r="BW4" t="str">
        <v>ownerProperty</v>
      </c>
      <c r="BX4" t="str">
        <v>ownerNames</v>
      </c>
      <c r="BY4" t="str">
        <v>ownershipLength</v>
      </c>
      <c r="BZ4" t="str">
        <v>ownership</v>
      </c>
      <c r="CA4" t="str">
        <v>ownerOccupied</v>
      </c>
      <c r="CB4" t="str">
        <v>effectiveOwner1FullName</v>
      </c>
      <c r="CC4" t="str">
        <v>relative_2_phone_number_2</v>
      </c>
      <c r="CD4" t="str">
        <v>relative_2_phone_number_2_last_used_date</v>
      </c>
      <c r="CE4" t="str">
        <v>relative_1_phone_number_2</v>
      </c>
      <c r="CF4" t="str">
        <v>relative_1_phone_number_2_last_used_date</v>
      </c>
      <c r="CG4" t="str">
        <v>Column1</v>
      </c>
    </row>
    <row r="5" spans="3:85" hidden="1" x14ac:dyDescent="0.35">
      <c r="C5">
        <v>208044904</v>
      </c>
      <c r="D5" t="s">
        <v>200</v>
      </c>
      <c r="E5" t="s">
        <v>109</v>
      </c>
      <c r="G5" t="s">
        <v>201</v>
      </c>
      <c r="H5" t="s">
        <v>146</v>
      </c>
      <c r="I5" t="s">
        <v>171</v>
      </c>
      <c r="J5" t="s">
        <v>72</v>
      </c>
      <c r="K5" t="s">
        <v>202</v>
      </c>
      <c r="L5" t="s">
        <v>12</v>
      </c>
      <c r="AQ5" t="b">
        <f>AND(Legacy_Data[[#This Row],[first_name]]=Legacy_Data[[#This Row],[owner1FirstName]],Legacy_Data[[#This Row],[last_name]]=Legacy_Data[[#This Row],[owner1LastName]])</f>
        <v>0</v>
      </c>
      <c r="AR5">
        <v>13</v>
      </c>
      <c r="AS5">
        <v>207984478</v>
      </c>
      <c r="AT5" t="str">
        <v>Maurice Kim</v>
      </c>
      <c r="AU5" t="str">
        <v>Edris</v>
      </c>
      <c r="AV5" t="str">
        <v/>
      </c>
      <c r="AW5" t="str">
        <v>Maurice Kim Edris</v>
      </c>
      <c r="AX5" t="str">
        <v>Mason</v>
      </c>
      <c r="AY5" t="str">
        <v>Warren</v>
      </c>
      <c r="AZ5" t="str">
        <v>Ohio</v>
      </c>
      <c r="BA5" t="str">
        <v>https://www.legacy.com/us/obituaries/name/maurice-kim-edris-obituary?id=56677149</v>
      </c>
      <c r="BB5" t="str">
        <v/>
      </c>
      <c r="BC5" vm="1">
        <v>0</v>
      </c>
      <c r="BD5" vm="1">
        <v>0</v>
      </c>
      <c r="BE5" vm="1">
        <v>0</v>
      </c>
      <c r="BF5" vm="1">
        <v>0</v>
      </c>
      <c r="BG5" vm="1">
        <v>0</v>
      </c>
      <c r="BH5" vm="1">
        <v>0</v>
      </c>
      <c r="BI5" vm="1">
        <v>0</v>
      </c>
      <c r="BJ5" vm="1">
        <v>0</v>
      </c>
      <c r="BK5" vm="1">
        <v>0</v>
      </c>
      <c r="BL5" vm="1">
        <v>0</v>
      </c>
      <c r="BM5" vm="1">
        <v>0</v>
      </c>
      <c r="BN5" t="e">
        <v>#NUM!</v>
      </c>
      <c r="BO5" vm="1">
        <v>0</v>
      </c>
      <c r="BP5" vm="1">
        <v>0</v>
      </c>
      <c r="BQ5" vm="1">
        <v>0</v>
      </c>
      <c r="BR5" vm="1">
        <v>0</v>
      </c>
      <c r="BS5" vm="1">
        <v>0</v>
      </c>
      <c r="BT5" vm="1">
        <v>0</v>
      </c>
      <c r="BU5" vm="1">
        <v>0</v>
      </c>
      <c r="BV5" vm="1">
        <v>0</v>
      </c>
      <c r="BW5" vm="1">
        <v>0</v>
      </c>
      <c r="BX5" vm="1">
        <v>0</v>
      </c>
      <c r="BY5" t="e">
        <v>#NUM!</v>
      </c>
      <c r="BZ5" vm="1">
        <v>0</v>
      </c>
      <c r="CA5" vm="1">
        <v>0</v>
      </c>
      <c r="CB5" vm="1">
        <v>0</v>
      </c>
      <c r="CC5" vm="1">
        <v>0</v>
      </c>
      <c r="CD5" vm="1">
        <v>0</v>
      </c>
      <c r="CE5" vm="1">
        <v>0</v>
      </c>
      <c r="CF5" vm="1">
        <v>0</v>
      </c>
      <c r="CG5" t="b">
        <v>0</v>
      </c>
    </row>
    <row r="6" spans="3:85" hidden="1" x14ac:dyDescent="0.35">
      <c r="C6">
        <v>208047288</v>
      </c>
      <c r="D6" t="s">
        <v>73</v>
      </c>
      <c r="E6" t="s">
        <v>91</v>
      </c>
      <c r="F6" t="s">
        <v>86</v>
      </c>
      <c r="G6" t="s">
        <v>203</v>
      </c>
      <c r="H6" t="s">
        <v>114</v>
      </c>
      <c r="I6" t="s">
        <v>171</v>
      </c>
      <c r="J6" t="s">
        <v>72</v>
      </c>
      <c r="K6" t="s">
        <v>204</v>
      </c>
      <c r="L6" t="s">
        <v>205</v>
      </c>
      <c r="M6" t="s">
        <v>267</v>
      </c>
      <c r="N6" t="s">
        <v>268</v>
      </c>
      <c r="O6" t="s">
        <v>269</v>
      </c>
      <c r="P6" t="s">
        <v>270</v>
      </c>
      <c r="Q6" t="s">
        <v>271</v>
      </c>
      <c r="R6" t="s">
        <v>272</v>
      </c>
      <c r="S6" t="s">
        <v>273</v>
      </c>
      <c r="T6" t="s">
        <v>274</v>
      </c>
      <c r="U6" t="s">
        <v>275</v>
      </c>
      <c r="V6" t="s">
        <v>268</v>
      </c>
      <c r="W6" t="s">
        <v>276</v>
      </c>
      <c r="X6">
        <v>1810222969</v>
      </c>
      <c r="Y6" t="b">
        <v>0</v>
      </c>
      <c r="Z6" t="s">
        <v>277</v>
      </c>
      <c r="AA6" t="s">
        <v>278</v>
      </c>
      <c r="AB6" t="s">
        <v>279</v>
      </c>
      <c r="AC6" t="s">
        <v>280</v>
      </c>
      <c r="AD6" t="s">
        <v>281</v>
      </c>
      <c r="AE6" t="s">
        <v>282</v>
      </c>
      <c r="AF6" t="b">
        <v>0</v>
      </c>
      <c r="AG6" t="s">
        <v>283</v>
      </c>
      <c r="AH6" t="s">
        <v>280</v>
      </c>
      <c r="AI6">
        <v>486</v>
      </c>
      <c r="AJ6" t="s">
        <v>284</v>
      </c>
      <c r="AK6" t="b">
        <v>1</v>
      </c>
      <c r="AL6" t="s">
        <v>280</v>
      </c>
      <c r="AQ6" t="b">
        <f>AND(Legacy_Data[[#This Row],[first_name]]=Legacy_Data[[#This Row],[owner1FirstName]],Legacy_Data[[#This Row],[last_name]]=Legacy_Data[[#This Row],[owner1LastName]])</f>
        <v>0</v>
      </c>
      <c r="AR6">
        <v>17</v>
      </c>
      <c r="AS6">
        <v>207967394</v>
      </c>
      <c r="AT6" t="str">
        <v>Richard</v>
      </c>
      <c r="AU6" t="str">
        <v>Arter</v>
      </c>
      <c r="AV6" t="str">
        <v>D.</v>
      </c>
      <c r="AW6" t="str">
        <v>Richard D. Arter</v>
      </c>
      <c r="AX6" t="str">
        <v>Mason</v>
      </c>
      <c r="AY6" t="str">
        <v>Warren</v>
      </c>
      <c r="AZ6" t="str">
        <v>Ohio</v>
      </c>
      <c r="BA6" t="str">
        <v>https://www.legacy.com/us/obituaries/name/richard-arter-obituary?id=56649206</v>
      </c>
      <c r="BB6" t="str">
        <v>6680 SCARBOROUGH CT, MORROW, OH 45152-8479</v>
      </c>
      <c r="BC6" t="str">
        <v>CARLA ARTER</v>
      </c>
      <c r="BD6" t="str">
        <v>937-765-6441</v>
      </c>
      <c r="BE6" t="str">
        <v>06/13/2024</v>
      </c>
      <c r="BF6" t="str">
        <v>JOSEPHINE ARTER</v>
      </c>
      <c r="BG6" t="str">
        <v>716-491-7208</v>
      </c>
      <c r="BH6" t="str">
        <v>05/21/2024</v>
      </c>
      <c r="BI6" t="str">
        <v>JACQUELYN RESER</v>
      </c>
      <c r="BJ6" t="str">
        <v>513-446-0522</v>
      </c>
      <c r="BK6" t="str">
        <v>06/29/2024</v>
      </c>
      <c r="BL6" t="str">
        <v>513-446-0521</v>
      </c>
      <c r="BM6" t="str">
        <v>05/08/2024</v>
      </c>
      <c r="BN6">
        <v>1810249069</v>
      </c>
      <c r="BO6" t="b">
        <v>0</v>
      </c>
      <c r="BP6" t="str">
        <v>BOWERSOCK</v>
      </c>
      <c r="BQ6" t="str">
        <v>JEFFREY</v>
      </c>
      <c r="BR6" t="str">
        <v>TODD</v>
      </c>
      <c r="BS6" t="str">
        <v>BOWERSOCK JEFFREY TODD</v>
      </c>
      <c r="BT6" t="str">
        <v>Owner Occupied</v>
      </c>
      <c r="BU6" t="str">
        <v>INDIVIDUAL</v>
      </c>
      <c r="BV6" t="b">
        <v>0</v>
      </c>
      <c r="BW6" t="str">
        <v>[Record]</v>
      </c>
      <c r="BX6" t="str">
        <v>BOWERSOCK JEFFREY TODD</v>
      </c>
      <c r="BY6">
        <v>246</v>
      </c>
      <c r="BZ6" t="str">
        <v>Individual</v>
      </c>
      <c r="CA6" t="b">
        <v>1</v>
      </c>
      <c r="CB6" t="str">
        <v>BOWERSOCK JEFFREY TODD</v>
      </c>
      <c r="CC6" t="str">
        <v>716-471-6470</v>
      </c>
      <c r="CD6" t="str">
        <v>07/01/2016</v>
      </c>
      <c r="CE6" vm="1">
        <v>0</v>
      </c>
      <c r="CF6" vm="1">
        <v>0</v>
      </c>
      <c r="CG6" t="b">
        <v>0</v>
      </c>
    </row>
    <row r="7" spans="3:85" hidden="1" x14ac:dyDescent="0.35">
      <c r="C7">
        <v>208046979</v>
      </c>
      <c r="D7" t="s">
        <v>73</v>
      </c>
      <c r="E7" t="s">
        <v>206</v>
      </c>
      <c r="G7" t="s">
        <v>207</v>
      </c>
      <c r="H7" t="s">
        <v>146</v>
      </c>
      <c r="I7" t="s">
        <v>171</v>
      </c>
      <c r="J7" t="s">
        <v>72</v>
      </c>
      <c r="K7" t="s">
        <v>208</v>
      </c>
      <c r="L7" t="s">
        <v>209</v>
      </c>
      <c r="M7" t="s">
        <v>285</v>
      </c>
      <c r="P7" t="s">
        <v>286</v>
      </c>
      <c r="Q7" t="s">
        <v>287</v>
      </c>
      <c r="R7" t="s">
        <v>288</v>
      </c>
      <c r="S7" t="s">
        <v>289</v>
      </c>
      <c r="T7" t="s">
        <v>290</v>
      </c>
      <c r="U7" t="s">
        <v>291</v>
      </c>
      <c r="V7" t="s">
        <v>292</v>
      </c>
      <c r="W7" t="s">
        <v>293</v>
      </c>
      <c r="AQ7" t="b">
        <f>AND(Legacy_Data[[#This Row],[first_name]]=Legacy_Data[[#This Row],[owner1FirstName]],Legacy_Data[[#This Row],[last_name]]=Legacy_Data[[#This Row],[owner1LastName]])</f>
        <v>0</v>
      </c>
      <c r="AR7">
        <v>21</v>
      </c>
      <c r="AS7">
        <v>207956238</v>
      </c>
      <c r="AT7" t="str">
        <v>Sheryl</v>
      </c>
      <c r="AU7" t="str">
        <v>Grimes</v>
      </c>
      <c r="AV7" t="str">
        <v>J.</v>
      </c>
      <c r="AW7" t="str">
        <v>Sheryl J. Grimes</v>
      </c>
      <c r="AX7" t="str">
        <v>Mason</v>
      </c>
      <c r="AY7" t="str">
        <v>Warren</v>
      </c>
      <c r="AZ7" t="str">
        <v>Ohio</v>
      </c>
      <c r="BA7" t="str">
        <v>https://www.legacy.com/us/obituaries/name/sheryl-grimes-obituary?id=56630894</v>
      </c>
      <c r="BB7" t="str">
        <v>926 OLYMPIA DR, MASON, OH 45040-1041</v>
      </c>
      <c r="BC7" t="str">
        <v>WILLIAM GRIMES</v>
      </c>
      <c r="BD7" t="str">
        <v>513-398-4320</v>
      </c>
      <c r="BE7" t="str">
        <v>09/01/2024</v>
      </c>
      <c r="BF7" t="str">
        <v>WAFA ALBANNA</v>
      </c>
      <c r="BG7" vm="1">
        <v>0</v>
      </c>
      <c r="BH7" vm="1">
        <v>0</v>
      </c>
      <c r="BI7" t="str">
        <v>ROBERT STERNBERG</v>
      </c>
      <c r="BJ7" t="str">
        <v>803-460-4948</v>
      </c>
      <c r="BK7" t="str">
        <v>10/19/2015</v>
      </c>
      <c r="BL7" vm="1">
        <v>0</v>
      </c>
      <c r="BM7" vm="1">
        <v>0</v>
      </c>
      <c r="BN7">
        <v>1810222974</v>
      </c>
      <c r="BO7" t="b">
        <v>0</v>
      </c>
      <c r="BP7" t="str">
        <v>GRIMES</v>
      </c>
      <c r="BQ7" t="str">
        <v>SHERYL</v>
      </c>
      <c r="BR7" t="str">
        <v>J</v>
      </c>
      <c r="BS7" t="str">
        <v>GRIMES SHERYL J</v>
      </c>
      <c r="BT7" t="str">
        <v>Owner Occupied</v>
      </c>
      <c r="BU7" t="str">
        <v>INDIVIDUAL</v>
      </c>
      <c r="BV7" t="b">
        <v>0</v>
      </c>
      <c r="BW7" t="str">
        <v>[Record]</v>
      </c>
      <c r="BX7" t="str">
        <v>GRIMES SHERYL J</v>
      </c>
      <c r="BY7" t="e">
        <v>#NUM!</v>
      </c>
      <c r="BZ7" t="str">
        <v>Individual</v>
      </c>
      <c r="CA7" t="b">
        <v>1</v>
      </c>
      <c r="CB7" t="str">
        <v>GRIMES SHERYL J</v>
      </c>
      <c r="CC7" vm="1">
        <v>0</v>
      </c>
      <c r="CD7" vm="1">
        <v>0</v>
      </c>
      <c r="CE7" vm="1">
        <v>0</v>
      </c>
      <c r="CF7" vm="1">
        <v>0</v>
      </c>
      <c r="CG7" t="b">
        <v>1</v>
      </c>
    </row>
    <row r="8" spans="3:85" hidden="1" x14ac:dyDescent="0.35">
      <c r="C8">
        <v>208040875</v>
      </c>
      <c r="D8" t="s">
        <v>210</v>
      </c>
      <c r="E8" t="s">
        <v>107</v>
      </c>
      <c r="G8" t="s">
        <v>211</v>
      </c>
      <c r="H8" t="s">
        <v>114</v>
      </c>
      <c r="I8" t="s">
        <v>171</v>
      </c>
      <c r="J8" t="s">
        <v>72</v>
      </c>
      <c r="K8" t="s">
        <v>212</v>
      </c>
      <c r="L8" t="s">
        <v>12</v>
      </c>
      <c r="AQ8" t="b">
        <f>AND(Legacy_Data[[#This Row],[first_name]]=Legacy_Data[[#This Row],[owner1FirstName]],Legacy_Data[[#This Row],[last_name]]=Legacy_Data[[#This Row],[owner1LastName]])</f>
        <v>0</v>
      </c>
      <c r="AR8">
        <v>29</v>
      </c>
      <c r="AS8">
        <v>207920887</v>
      </c>
      <c r="AT8" t="str">
        <v>Sheila</v>
      </c>
      <c r="AU8" t="str">
        <v>Kilgore</v>
      </c>
      <c r="AV8" t="str">
        <v>K.</v>
      </c>
      <c r="AW8" t="str">
        <v>Sheila K. Kilgore</v>
      </c>
      <c r="AX8" t="str">
        <v>Wilmington</v>
      </c>
      <c r="AY8" t="str">
        <v>Warren</v>
      </c>
      <c r="AZ8" t="str">
        <v>Ohio</v>
      </c>
      <c r="BA8" t="str">
        <v>https://www.legacy.com/us/obituaries/greenecodailies/name/sheila-kilgore-obituary?id=56572356</v>
      </c>
      <c r="BB8" t="str">
        <v>239 JEFFERSON ST UNIT 1, GREENFIELD, OH 45123-1495</v>
      </c>
      <c r="BC8" t="str">
        <v>STEVEN JUILFS</v>
      </c>
      <c r="BD8" t="str">
        <v>304-991-3074</v>
      </c>
      <c r="BE8" t="str">
        <v>02/06/2024</v>
      </c>
      <c r="BF8" t="str">
        <v>HOMER MILLS</v>
      </c>
      <c r="BG8" t="str">
        <v>513-368-9246</v>
      </c>
      <c r="BH8" t="str">
        <v>09/18/2024</v>
      </c>
      <c r="BI8" t="str">
        <v>CYNTHIA SINGLETON</v>
      </c>
      <c r="BJ8" t="str">
        <v>305-807-4521</v>
      </c>
      <c r="BK8" t="str">
        <v>02/06/2024</v>
      </c>
      <c r="BL8" vm="1">
        <v>0</v>
      </c>
      <c r="BM8" vm="1">
        <v>0</v>
      </c>
      <c r="BN8" t="e">
        <v>#NUM!</v>
      </c>
      <c r="BO8" vm="1">
        <v>0</v>
      </c>
      <c r="BP8" vm="1">
        <v>0</v>
      </c>
      <c r="BQ8" vm="1">
        <v>0</v>
      </c>
      <c r="BR8" vm="1">
        <v>0</v>
      </c>
      <c r="BS8" vm="1">
        <v>0</v>
      </c>
      <c r="BT8" vm="1">
        <v>0</v>
      </c>
      <c r="BU8" vm="1">
        <v>0</v>
      </c>
      <c r="BV8" t="b">
        <v>0</v>
      </c>
      <c r="BW8" vm="1">
        <v>0</v>
      </c>
      <c r="BX8" vm="1">
        <v>0</v>
      </c>
      <c r="BY8" t="e">
        <v>#NUM!</v>
      </c>
      <c r="BZ8" vm="1">
        <v>0</v>
      </c>
      <c r="CA8" t="b">
        <v>0</v>
      </c>
      <c r="CB8" vm="1">
        <v>0</v>
      </c>
      <c r="CC8" vm="1">
        <v>0</v>
      </c>
      <c r="CD8" vm="1">
        <v>0</v>
      </c>
      <c r="CE8" vm="1">
        <v>0</v>
      </c>
      <c r="CF8" vm="1">
        <v>0</v>
      </c>
      <c r="CG8" t="b">
        <v>0</v>
      </c>
    </row>
    <row r="9" spans="3:85" hidden="1" x14ac:dyDescent="0.35">
      <c r="C9">
        <v>208051629</v>
      </c>
      <c r="D9" t="s">
        <v>99</v>
      </c>
      <c r="E9" t="s">
        <v>213</v>
      </c>
      <c r="F9" t="s">
        <v>214</v>
      </c>
      <c r="G9" t="s">
        <v>215</v>
      </c>
      <c r="H9" t="s">
        <v>114</v>
      </c>
      <c r="I9" t="s">
        <v>171</v>
      </c>
      <c r="J9" t="s">
        <v>72</v>
      </c>
      <c r="K9" t="s">
        <v>216</v>
      </c>
      <c r="L9" t="s">
        <v>217</v>
      </c>
      <c r="M9" t="s">
        <v>294</v>
      </c>
      <c r="P9" t="s">
        <v>295</v>
      </c>
      <c r="Q9" t="s">
        <v>296</v>
      </c>
      <c r="R9" t="s">
        <v>297</v>
      </c>
      <c r="S9" t="s">
        <v>298</v>
      </c>
      <c r="T9" t="s">
        <v>299</v>
      </c>
      <c r="U9" t="s">
        <v>288</v>
      </c>
      <c r="AM9" t="s">
        <v>300</v>
      </c>
      <c r="AN9" t="s">
        <v>301</v>
      </c>
      <c r="AQ9" t="b">
        <f>AND(Legacy_Data[[#This Row],[first_name]]=Legacy_Data[[#This Row],[owner1FirstName]],Legacy_Data[[#This Row],[last_name]]=Legacy_Data[[#This Row],[owner1LastName]])</f>
        <v>0</v>
      </c>
    </row>
    <row r="10" spans="3:85" hidden="1" x14ac:dyDescent="0.35">
      <c r="C10">
        <v>208027957</v>
      </c>
      <c r="D10" t="s">
        <v>79</v>
      </c>
      <c r="E10" t="s">
        <v>132</v>
      </c>
      <c r="F10" t="s">
        <v>95</v>
      </c>
      <c r="G10" t="s">
        <v>133</v>
      </c>
      <c r="H10" t="s">
        <v>114</v>
      </c>
      <c r="I10" t="s">
        <v>171</v>
      </c>
      <c r="J10" t="s">
        <v>72</v>
      </c>
      <c r="K10" t="s">
        <v>182</v>
      </c>
      <c r="L10" t="s">
        <v>12</v>
      </c>
      <c r="AQ10" t="b">
        <f>AND(Legacy_Data[[#This Row],[first_name]]=Legacy_Data[[#This Row],[owner1FirstName]],Legacy_Data[[#This Row],[last_name]]=Legacy_Data[[#This Row],[owner1LastName]])</f>
        <v>0</v>
      </c>
    </row>
    <row r="11" spans="3:85" hidden="1" x14ac:dyDescent="0.35">
      <c r="C11">
        <v>208018272</v>
      </c>
      <c r="D11" t="s">
        <v>96</v>
      </c>
      <c r="E11" t="s">
        <v>97</v>
      </c>
      <c r="F11" t="s">
        <v>83</v>
      </c>
      <c r="G11" t="s">
        <v>134</v>
      </c>
      <c r="H11" t="s">
        <v>114</v>
      </c>
      <c r="I11" t="s">
        <v>171</v>
      </c>
      <c r="J11" t="s">
        <v>72</v>
      </c>
      <c r="K11" t="s">
        <v>183</v>
      </c>
      <c r="L11" t="s">
        <v>12</v>
      </c>
      <c r="AQ11" t="b">
        <f>AND(Legacy_Data[[#This Row],[first_name]]=Legacy_Data[[#This Row],[owner1FirstName]],Legacy_Data[[#This Row],[last_name]]=Legacy_Data[[#This Row],[owner1LastName]])</f>
        <v>0</v>
      </c>
    </row>
    <row r="12" spans="3:85" hidden="1" x14ac:dyDescent="0.35">
      <c r="C12">
        <v>208018201</v>
      </c>
      <c r="D12" t="s">
        <v>82</v>
      </c>
      <c r="E12" t="s">
        <v>135</v>
      </c>
      <c r="F12" t="s">
        <v>136</v>
      </c>
      <c r="G12" t="s">
        <v>137</v>
      </c>
      <c r="H12" t="s">
        <v>114</v>
      </c>
      <c r="I12" t="s">
        <v>171</v>
      </c>
      <c r="J12" t="s">
        <v>72</v>
      </c>
      <c r="K12" t="s">
        <v>184</v>
      </c>
      <c r="L12" t="s">
        <v>218</v>
      </c>
      <c r="M12" t="s">
        <v>302</v>
      </c>
      <c r="N12" t="s">
        <v>303</v>
      </c>
      <c r="O12" t="s">
        <v>304</v>
      </c>
      <c r="P12" t="s">
        <v>305</v>
      </c>
      <c r="Q12" t="s">
        <v>306</v>
      </c>
      <c r="R12" t="s">
        <v>307</v>
      </c>
      <c r="S12" t="s">
        <v>308</v>
      </c>
      <c r="T12" t="s">
        <v>309</v>
      </c>
      <c r="U12" t="s">
        <v>310</v>
      </c>
      <c r="V12" t="s">
        <v>311</v>
      </c>
      <c r="W12" t="s">
        <v>312</v>
      </c>
      <c r="AF12" t="b">
        <v>0</v>
      </c>
      <c r="AK12" t="b">
        <v>0</v>
      </c>
      <c r="AM12" t="s">
        <v>313</v>
      </c>
      <c r="AN12" t="s">
        <v>314</v>
      </c>
      <c r="AO12" t="s">
        <v>315</v>
      </c>
      <c r="AP12" t="s">
        <v>316</v>
      </c>
      <c r="AQ12" t="b">
        <f>AND(Legacy_Data[[#This Row],[first_name]]=Legacy_Data[[#This Row],[owner1FirstName]],Legacy_Data[[#This Row],[last_name]]=Legacy_Data[[#This Row],[owner1LastName]])</f>
        <v>0</v>
      </c>
    </row>
    <row r="13" spans="3:85" hidden="1" x14ac:dyDescent="0.35">
      <c r="C13">
        <v>208000847</v>
      </c>
      <c r="D13" t="s">
        <v>74</v>
      </c>
      <c r="E13" t="s">
        <v>138</v>
      </c>
      <c r="G13" t="s">
        <v>139</v>
      </c>
      <c r="H13" t="s">
        <v>114</v>
      </c>
      <c r="I13" t="s">
        <v>171</v>
      </c>
      <c r="J13" t="s">
        <v>72</v>
      </c>
      <c r="K13" t="s">
        <v>185</v>
      </c>
      <c r="L13" t="s">
        <v>219</v>
      </c>
      <c r="M13" t="s">
        <v>317</v>
      </c>
      <c r="N13" t="s">
        <v>318</v>
      </c>
      <c r="O13" t="s">
        <v>293</v>
      </c>
      <c r="P13" t="s">
        <v>319</v>
      </c>
      <c r="Q13" t="s">
        <v>320</v>
      </c>
      <c r="R13" t="s">
        <v>321</v>
      </c>
      <c r="S13" t="s">
        <v>322</v>
      </c>
      <c r="T13" t="s">
        <v>323</v>
      </c>
      <c r="U13" t="s">
        <v>324</v>
      </c>
      <c r="V13" t="s">
        <v>325</v>
      </c>
      <c r="W13" t="s">
        <v>326</v>
      </c>
      <c r="X13">
        <v>1862381051</v>
      </c>
      <c r="Y13" t="b">
        <v>0</v>
      </c>
      <c r="Z13" t="s">
        <v>327</v>
      </c>
      <c r="AA13" t="s">
        <v>328</v>
      </c>
      <c r="AB13" t="s">
        <v>102</v>
      </c>
      <c r="AC13" t="s">
        <v>329</v>
      </c>
      <c r="AD13" t="s">
        <v>281</v>
      </c>
      <c r="AE13" t="s">
        <v>282</v>
      </c>
      <c r="AF13" t="b">
        <v>0</v>
      </c>
      <c r="AG13" t="s">
        <v>283</v>
      </c>
      <c r="AH13" t="s">
        <v>329</v>
      </c>
      <c r="AI13">
        <v>48</v>
      </c>
      <c r="AJ13" t="s">
        <v>284</v>
      </c>
      <c r="AK13" t="b">
        <v>1</v>
      </c>
      <c r="AL13" t="s">
        <v>329</v>
      </c>
      <c r="AM13" t="s">
        <v>330</v>
      </c>
      <c r="AN13" t="s">
        <v>331</v>
      </c>
      <c r="AQ13" t="b">
        <f>AND(Legacy_Data[[#This Row],[first_name]]=Legacy_Data[[#This Row],[owner1FirstName]],Legacy_Data[[#This Row],[last_name]]=Legacy_Data[[#This Row],[owner1LastName]])</f>
        <v>0</v>
      </c>
    </row>
    <row r="14" spans="3:85" hidden="1" x14ac:dyDescent="0.35">
      <c r="C14">
        <v>208002645</v>
      </c>
      <c r="D14" t="s">
        <v>100</v>
      </c>
      <c r="E14" t="s">
        <v>140</v>
      </c>
      <c r="G14" t="s">
        <v>141</v>
      </c>
      <c r="H14" t="s">
        <v>114</v>
      </c>
      <c r="I14" t="s">
        <v>171</v>
      </c>
      <c r="J14" t="s">
        <v>72</v>
      </c>
      <c r="K14" t="s">
        <v>186</v>
      </c>
      <c r="AQ14" t="b">
        <f>AND(Legacy_Data[[#This Row],[first_name]]=Legacy_Data[[#This Row],[owner1FirstName]],Legacy_Data[[#This Row],[last_name]]=Legacy_Data[[#This Row],[owner1LastName]])</f>
        <v>0</v>
      </c>
      <c r="AR14" s="6"/>
      <c r="AS14" s="6"/>
      <c r="AT14" s="6"/>
      <c r="AU14" s="6"/>
    </row>
    <row r="15" spans="3:85" hidden="1" x14ac:dyDescent="0.35">
      <c r="C15">
        <v>207994932</v>
      </c>
      <c r="D15" t="s">
        <v>90</v>
      </c>
      <c r="E15" t="s">
        <v>125</v>
      </c>
      <c r="G15" t="s">
        <v>142</v>
      </c>
      <c r="H15" t="s">
        <v>114</v>
      </c>
      <c r="I15" t="s">
        <v>171</v>
      </c>
      <c r="J15" t="s">
        <v>72</v>
      </c>
      <c r="K15" t="s">
        <v>187</v>
      </c>
      <c r="L15" t="s">
        <v>220</v>
      </c>
      <c r="M15" t="s">
        <v>332</v>
      </c>
      <c r="N15" t="s">
        <v>333</v>
      </c>
      <c r="O15" t="s">
        <v>334</v>
      </c>
      <c r="P15" t="s">
        <v>335</v>
      </c>
      <c r="Q15" t="s">
        <v>333</v>
      </c>
      <c r="R15" t="s">
        <v>336</v>
      </c>
      <c r="S15" t="s">
        <v>337</v>
      </c>
      <c r="T15" t="s">
        <v>338</v>
      </c>
      <c r="U15" t="s">
        <v>339</v>
      </c>
      <c r="V15" t="s">
        <v>340</v>
      </c>
      <c r="W15" t="s">
        <v>339</v>
      </c>
      <c r="X15">
        <v>1826132835</v>
      </c>
      <c r="Y15" t="b">
        <v>0</v>
      </c>
      <c r="Z15" t="s">
        <v>341</v>
      </c>
      <c r="AA15" t="s">
        <v>342</v>
      </c>
      <c r="AB15" t="s">
        <v>343</v>
      </c>
      <c r="AC15" t="s">
        <v>344</v>
      </c>
      <c r="AD15" t="s">
        <v>281</v>
      </c>
      <c r="AE15" t="s">
        <v>282</v>
      </c>
      <c r="AF15" t="b">
        <v>0</v>
      </c>
      <c r="AG15" t="s">
        <v>283</v>
      </c>
      <c r="AH15" t="s">
        <v>344</v>
      </c>
      <c r="AI15">
        <v>47</v>
      </c>
      <c r="AJ15" t="s">
        <v>284</v>
      </c>
      <c r="AK15" t="b">
        <v>1</v>
      </c>
      <c r="AL15" t="s">
        <v>344</v>
      </c>
      <c r="AM15" t="s">
        <v>345</v>
      </c>
      <c r="AN15" t="s">
        <v>346</v>
      </c>
      <c r="AO15" t="s">
        <v>347</v>
      </c>
      <c r="AP15" t="s">
        <v>348</v>
      </c>
      <c r="AQ15" t="b">
        <f>AND(Legacy_Data[[#This Row],[first_name]]=Legacy_Data[[#This Row],[owner1FirstName]],Legacy_Data[[#This Row],[last_name]]=Legacy_Data[[#This Row],[owner1LastName]])</f>
        <v>0</v>
      </c>
    </row>
    <row r="16" spans="3:85" hidden="1" x14ac:dyDescent="0.35">
      <c r="C16">
        <v>207991268</v>
      </c>
      <c r="D16" t="s">
        <v>111</v>
      </c>
      <c r="E16" t="s">
        <v>112</v>
      </c>
      <c r="F16" t="s">
        <v>80</v>
      </c>
      <c r="G16" t="s">
        <v>113</v>
      </c>
      <c r="H16" t="s">
        <v>114</v>
      </c>
      <c r="I16" t="s">
        <v>171</v>
      </c>
      <c r="J16" t="s">
        <v>72</v>
      </c>
      <c r="K16" t="s">
        <v>174</v>
      </c>
      <c r="L16" t="s">
        <v>221</v>
      </c>
      <c r="M16" t="s">
        <v>349</v>
      </c>
      <c r="N16" t="s">
        <v>350</v>
      </c>
      <c r="O16" t="s">
        <v>351</v>
      </c>
      <c r="P16" t="s">
        <v>352</v>
      </c>
      <c r="Q16" t="s">
        <v>353</v>
      </c>
      <c r="R16" t="s">
        <v>334</v>
      </c>
      <c r="S16" t="s">
        <v>354</v>
      </c>
      <c r="T16" t="s">
        <v>355</v>
      </c>
      <c r="U16" t="s">
        <v>356</v>
      </c>
      <c r="X16">
        <v>1810247733</v>
      </c>
      <c r="Y16" t="b">
        <v>0</v>
      </c>
      <c r="Z16" t="s">
        <v>357</v>
      </c>
      <c r="AA16" t="s">
        <v>358</v>
      </c>
      <c r="AC16" t="s">
        <v>359</v>
      </c>
      <c r="AD16" t="s">
        <v>281</v>
      </c>
      <c r="AE16" t="s">
        <v>282</v>
      </c>
      <c r="AF16" t="b">
        <v>0</v>
      </c>
      <c r="AG16" t="s">
        <v>283</v>
      </c>
      <c r="AH16" t="s">
        <v>360</v>
      </c>
      <c r="AI16">
        <v>246</v>
      </c>
      <c r="AJ16" t="s">
        <v>284</v>
      </c>
      <c r="AK16" t="b">
        <v>1</v>
      </c>
      <c r="AL16" t="s">
        <v>359</v>
      </c>
      <c r="AM16" t="s">
        <v>355</v>
      </c>
      <c r="AN16" t="s">
        <v>361</v>
      </c>
      <c r="AO16" t="s">
        <v>362</v>
      </c>
      <c r="AP16" t="s">
        <v>363</v>
      </c>
      <c r="AQ16" t="b">
        <f>AND(Legacy_Data[[#This Row],[first_name]]=Legacy_Data[[#This Row],[owner1FirstName]],Legacy_Data[[#This Row],[last_name]]=Legacy_Data[[#This Row],[owner1LastName]])</f>
        <v>0</v>
      </c>
    </row>
    <row r="17" spans="3:47" hidden="1" x14ac:dyDescent="0.35">
      <c r="C17">
        <v>207982875</v>
      </c>
      <c r="D17" t="s">
        <v>143</v>
      </c>
      <c r="E17" t="s">
        <v>144</v>
      </c>
      <c r="F17" t="s">
        <v>85</v>
      </c>
      <c r="G17" t="s">
        <v>145</v>
      </c>
      <c r="H17" t="s">
        <v>146</v>
      </c>
      <c r="I17" t="s">
        <v>171</v>
      </c>
      <c r="J17" t="s">
        <v>72</v>
      </c>
      <c r="K17" t="s">
        <v>188</v>
      </c>
      <c r="L17" t="s">
        <v>12</v>
      </c>
      <c r="AQ17" t="b">
        <f>AND(Legacy_Data[[#This Row],[first_name]]=Legacy_Data[[#This Row],[owner1FirstName]],Legacy_Data[[#This Row],[last_name]]=Legacy_Data[[#This Row],[owner1LastName]])</f>
        <v>0</v>
      </c>
    </row>
    <row r="18" spans="3:47" hidden="1" x14ac:dyDescent="0.35">
      <c r="C18">
        <v>207984478</v>
      </c>
      <c r="D18" t="s">
        <v>147</v>
      </c>
      <c r="E18" t="s">
        <v>148</v>
      </c>
      <c r="G18" t="s">
        <v>149</v>
      </c>
      <c r="H18" t="s">
        <v>114</v>
      </c>
      <c r="I18" t="s">
        <v>171</v>
      </c>
      <c r="J18" t="s">
        <v>72</v>
      </c>
      <c r="K18" t="s">
        <v>189</v>
      </c>
      <c r="L18" t="s">
        <v>12</v>
      </c>
      <c r="AQ18" t="b">
        <f>AND(Legacy_Data[[#This Row],[first_name]]=Legacy_Data[[#This Row],[owner1FirstName]],Legacy_Data[[#This Row],[last_name]]=Legacy_Data[[#This Row],[owner1LastName]])</f>
        <v>0</v>
      </c>
    </row>
    <row r="19" spans="3:47" hidden="1" x14ac:dyDescent="0.35">
      <c r="C19">
        <v>207982911</v>
      </c>
      <c r="D19" t="s">
        <v>78</v>
      </c>
      <c r="E19" t="s">
        <v>115</v>
      </c>
      <c r="G19" t="s">
        <v>116</v>
      </c>
      <c r="H19" t="s">
        <v>117</v>
      </c>
      <c r="I19" t="s">
        <v>171</v>
      </c>
      <c r="J19" t="s">
        <v>72</v>
      </c>
      <c r="K19" t="s">
        <v>175</v>
      </c>
      <c r="L19" t="s">
        <v>222</v>
      </c>
      <c r="M19" t="s">
        <v>364</v>
      </c>
      <c r="N19" t="s">
        <v>365</v>
      </c>
      <c r="O19" t="s">
        <v>366</v>
      </c>
      <c r="P19" t="s">
        <v>367</v>
      </c>
      <c r="S19" t="s">
        <v>368</v>
      </c>
      <c r="AQ19" t="b">
        <f>AND(Legacy_Data[[#This Row],[first_name]]=Legacy_Data[[#This Row],[owner1FirstName]],Legacy_Data[[#This Row],[last_name]]=Legacy_Data[[#This Row],[owner1LastName]])</f>
        <v>0</v>
      </c>
    </row>
    <row r="20" spans="3:47" hidden="1" x14ac:dyDescent="0.35">
      <c r="C20">
        <v>207980527</v>
      </c>
      <c r="D20" t="s">
        <v>150</v>
      </c>
      <c r="E20" t="s">
        <v>151</v>
      </c>
      <c r="F20" t="s">
        <v>152</v>
      </c>
      <c r="G20" t="s">
        <v>153</v>
      </c>
      <c r="H20" t="s">
        <v>114</v>
      </c>
      <c r="I20" t="s">
        <v>171</v>
      </c>
      <c r="J20" t="s">
        <v>72</v>
      </c>
      <c r="K20" t="s">
        <v>190</v>
      </c>
      <c r="L20" t="s">
        <v>223</v>
      </c>
      <c r="M20" t="s">
        <v>369</v>
      </c>
      <c r="N20" t="s">
        <v>370</v>
      </c>
      <c r="O20" t="s">
        <v>371</v>
      </c>
      <c r="P20" t="s">
        <v>372</v>
      </c>
      <c r="Q20" t="s">
        <v>373</v>
      </c>
      <c r="R20" t="s">
        <v>334</v>
      </c>
      <c r="S20" t="s">
        <v>374</v>
      </c>
      <c r="T20" t="s">
        <v>370</v>
      </c>
      <c r="U20" t="s">
        <v>356</v>
      </c>
      <c r="AM20" t="s">
        <v>375</v>
      </c>
      <c r="AN20" t="s">
        <v>288</v>
      </c>
      <c r="AO20" t="s">
        <v>376</v>
      </c>
      <c r="AP20" t="s">
        <v>377</v>
      </c>
      <c r="AQ20" t="b">
        <f>AND(Legacy_Data[[#This Row],[first_name]]=Legacy_Data[[#This Row],[owner1FirstName]],Legacy_Data[[#This Row],[last_name]]=Legacy_Data[[#This Row],[owner1LastName]])</f>
        <v>0</v>
      </c>
    </row>
    <row r="21" spans="3:47" x14ac:dyDescent="0.35">
      <c r="C21">
        <v>207971779</v>
      </c>
      <c r="D21" t="s">
        <v>105</v>
      </c>
      <c r="E21" t="s">
        <v>118</v>
      </c>
      <c r="G21" t="s">
        <v>119</v>
      </c>
      <c r="H21" t="s">
        <v>117</v>
      </c>
      <c r="I21" t="s">
        <v>171</v>
      </c>
      <c r="J21" t="s">
        <v>72</v>
      </c>
      <c r="K21" t="s">
        <v>176</v>
      </c>
      <c r="L21" t="s">
        <v>224</v>
      </c>
      <c r="M21" t="s">
        <v>378</v>
      </c>
      <c r="N21" t="s">
        <v>379</v>
      </c>
      <c r="O21" t="s">
        <v>380</v>
      </c>
      <c r="P21" t="s">
        <v>381</v>
      </c>
      <c r="Q21" t="s">
        <v>382</v>
      </c>
      <c r="R21" t="s">
        <v>383</v>
      </c>
      <c r="S21" t="s">
        <v>384</v>
      </c>
      <c r="T21" t="s">
        <v>382</v>
      </c>
      <c r="U21" t="s">
        <v>288</v>
      </c>
      <c r="X21">
        <v>1808445075</v>
      </c>
      <c r="Y21" t="b">
        <v>0</v>
      </c>
      <c r="Z21" t="s">
        <v>385</v>
      </c>
      <c r="AA21" t="s">
        <v>386</v>
      </c>
      <c r="AC21" t="s">
        <v>387</v>
      </c>
      <c r="AD21" t="s">
        <v>281</v>
      </c>
      <c r="AE21" t="s">
        <v>282</v>
      </c>
      <c r="AF21" t="b">
        <v>0</v>
      </c>
      <c r="AG21" t="s">
        <v>283</v>
      </c>
      <c r="AH21" t="s">
        <v>387</v>
      </c>
      <c r="AI21">
        <v>24</v>
      </c>
      <c r="AJ21" t="s">
        <v>284</v>
      </c>
      <c r="AK21" t="b">
        <v>1</v>
      </c>
      <c r="AL21" t="s">
        <v>387</v>
      </c>
      <c r="AQ21" t="b">
        <f>AND(Legacy_Data[[#This Row],[first_name]]=Legacy_Data[[#This Row],[owner1FirstName]],Legacy_Data[[#This Row],[last_name]]=Legacy_Data[[#This Row],[owner1LastName]])</f>
        <v>1</v>
      </c>
    </row>
    <row r="22" spans="3:47" hidden="1" x14ac:dyDescent="0.35">
      <c r="C22">
        <v>207967394</v>
      </c>
      <c r="D22" t="s">
        <v>83</v>
      </c>
      <c r="E22" t="s">
        <v>154</v>
      </c>
      <c r="F22" t="s">
        <v>92</v>
      </c>
      <c r="G22" t="s">
        <v>155</v>
      </c>
      <c r="H22" t="s">
        <v>114</v>
      </c>
      <c r="I22" t="s">
        <v>171</v>
      </c>
      <c r="J22" t="s">
        <v>72</v>
      </c>
      <c r="K22" t="s">
        <v>191</v>
      </c>
      <c r="L22" t="s">
        <v>225</v>
      </c>
      <c r="M22" t="s">
        <v>388</v>
      </c>
      <c r="N22" t="s">
        <v>389</v>
      </c>
      <c r="O22" t="s">
        <v>390</v>
      </c>
      <c r="P22" t="s">
        <v>391</v>
      </c>
      <c r="Q22" t="s">
        <v>392</v>
      </c>
      <c r="R22" t="s">
        <v>393</v>
      </c>
      <c r="S22" t="s">
        <v>394</v>
      </c>
      <c r="T22" t="s">
        <v>395</v>
      </c>
      <c r="U22" t="s">
        <v>396</v>
      </c>
      <c r="V22" t="s">
        <v>397</v>
      </c>
      <c r="W22" t="s">
        <v>398</v>
      </c>
      <c r="X22">
        <v>1810249069</v>
      </c>
      <c r="Y22" t="b">
        <v>0</v>
      </c>
      <c r="Z22" t="s">
        <v>399</v>
      </c>
      <c r="AA22" t="s">
        <v>106</v>
      </c>
      <c r="AB22" t="s">
        <v>400</v>
      </c>
      <c r="AC22" t="s">
        <v>401</v>
      </c>
      <c r="AD22" t="s">
        <v>281</v>
      </c>
      <c r="AE22" t="s">
        <v>282</v>
      </c>
      <c r="AF22" t="b">
        <v>0</v>
      </c>
      <c r="AG22" t="s">
        <v>283</v>
      </c>
      <c r="AH22" t="s">
        <v>401</v>
      </c>
      <c r="AI22">
        <v>246</v>
      </c>
      <c r="AJ22" t="s">
        <v>284</v>
      </c>
      <c r="AK22" t="b">
        <v>1</v>
      </c>
      <c r="AL22" t="s">
        <v>401</v>
      </c>
      <c r="AM22" t="s">
        <v>402</v>
      </c>
      <c r="AN22" t="s">
        <v>276</v>
      </c>
      <c r="AQ22" t="b">
        <f>AND(Legacy_Data[[#This Row],[first_name]]=Legacy_Data[[#This Row],[owner1FirstName]],Legacy_Data[[#This Row],[last_name]]=Legacy_Data[[#This Row],[owner1LastName]])</f>
        <v>0</v>
      </c>
    </row>
    <row r="23" spans="3:47" hidden="1" x14ac:dyDescent="0.35">
      <c r="C23">
        <v>207965838</v>
      </c>
      <c r="D23" t="s">
        <v>156</v>
      </c>
      <c r="E23" t="s">
        <v>101</v>
      </c>
      <c r="G23" t="s">
        <v>157</v>
      </c>
      <c r="H23" t="s">
        <v>114</v>
      </c>
      <c r="I23" t="s">
        <v>171</v>
      </c>
      <c r="J23" t="s">
        <v>72</v>
      </c>
      <c r="K23" t="s">
        <v>192</v>
      </c>
      <c r="L23" t="s">
        <v>226</v>
      </c>
      <c r="M23" t="s">
        <v>403</v>
      </c>
      <c r="N23" t="s">
        <v>404</v>
      </c>
      <c r="O23" t="s">
        <v>405</v>
      </c>
      <c r="P23" t="s">
        <v>406</v>
      </c>
      <c r="Q23" t="s">
        <v>407</v>
      </c>
      <c r="R23" t="s">
        <v>408</v>
      </c>
      <c r="S23" t="s">
        <v>409</v>
      </c>
      <c r="T23" t="s">
        <v>410</v>
      </c>
      <c r="U23" t="s">
        <v>411</v>
      </c>
      <c r="V23" t="s">
        <v>412</v>
      </c>
      <c r="W23" t="s">
        <v>413</v>
      </c>
      <c r="X23">
        <v>1803067599</v>
      </c>
      <c r="Y23" t="b">
        <v>0</v>
      </c>
      <c r="Z23" t="s">
        <v>414</v>
      </c>
      <c r="AA23" t="s">
        <v>415</v>
      </c>
      <c r="AB23" t="s">
        <v>110</v>
      </c>
      <c r="AC23" t="s">
        <v>416</v>
      </c>
      <c r="AD23" t="s">
        <v>281</v>
      </c>
      <c r="AE23" t="s">
        <v>282</v>
      </c>
      <c r="AF23" t="b">
        <v>0</v>
      </c>
      <c r="AG23" t="s">
        <v>283</v>
      </c>
      <c r="AH23" t="s">
        <v>417</v>
      </c>
      <c r="AI23">
        <v>444</v>
      </c>
      <c r="AJ23" t="s">
        <v>284</v>
      </c>
      <c r="AK23" t="b">
        <v>1</v>
      </c>
      <c r="AL23" t="s">
        <v>416</v>
      </c>
      <c r="AM23" t="s">
        <v>418</v>
      </c>
      <c r="AN23" t="s">
        <v>419</v>
      </c>
      <c r="AQ23" t="b">
        <f>AND(Legacy_Data[[#This Row],[first_name]]=Legacy_Data[[#This Row],[owner1FirstName]],Legacy_Data[[#This Row],[last_name]]=Legacy_Data[[#This Row],[owner1LastName]])</f>
        <v>0</v>
      </c>
      <c r="AR23" s="6"/>
      <c r="AS23" s="6"/>
      <c r="AT23" s="6"/>
      <c r="AU23" s="6"/>
    </row>
    <row r="24" spans="3:47" hidden="1" x14ac:dyDescent="0.35">
      <c r="C24">
        <v>207960280</v>
      </c>
      <c r="D24" t="s">
        <v>158</v>
      </c>
      <c r="E24" t="s">
        <v>87</v>
      </c>
      <c r="F24" t="s">
        <v>159</v>
      </c>
      <c r="G24" t="s">
        <v>160</v>
      </c>
      <c r="H24" t="s">
        <v>114</v>
      </c>
      <c r="I24" t="s">
        <v>171</v>
      </c>
      <c r="J24" t="s">
        <v>72</v>
      </c>
      <c r="K24" t="s">
        <v>193</v>
      </c>
      <c r="L24" t="s">
        <v>12</v>
      </c>
      <c r="AQ24" t="b">
        <f>AND(Legacy_Data[[#This Row],[first_name]]=Legacy_Data[[#This Row],[owner1FirstName]],Legacy_Data[[#This Row],[last_name]]=Legacy_Data[[#This Row],[owner1LastName]])</f>
        <v>0</v>
      </c>
    </row>
    <row r="25" spans="3:47" hidden="1" x14ac:dyDescent="0.35">
      <c r="C25">
        <v>207956900</v>
      </c>
      <c r="D25" t="s">
        <v>76</v>
      </c>
      <c r="E25" t="s">
        <v>108</v>
      </c>
      <c r="G25" t="s">
        <v>120</v>
      </c>
      <c r="H25" t="s">
        <v>117</v>
      </c>
      <c r="I25" t="s">
        <v>171</v>
      </c>
      <c r="J25" t="s">
        <v>72</v>
      </c>
      <c r="K25" t="s">
        <v>177</v>
      </c>
      <c r="L25" t="s">
        <v>227</v>
      </c>
      <c r="M25" t="s">
        <v>420</v>
      </c>
      <c r="P25" t="s">
        <v>421</v>
      </c>
      <c r="Q25" t="s">
        <v>422</v>
      </c>
      <c r="R25" t="s">
        <v>288</v>
      </c>
      <c r="S25" t="s">
        <v>423</v>
      </c>
      <c r="T25" t="s">
        <v>424</v>
      </c>
      <c r="U25" t="s">
        <v>288</v>
      </c>
      <c r="V25" t="s">
        <v>425</v>
      </c>
      <c r="W25" t="s">
        <v>426</v>
      </c>
      <c r="X25">
        <v>1857708137</v>
      </c>
      <c r="Y25" t="b">
        <v>1</v>
      </c>
      <c r="Z25" t="s">
        <v>427</v>
      </c>
      <c r="AC25" t="s">
        <v>427</v>
      </c>
      <c r="AD25" t="s">
        <v>428</v>
      </c>
      <c r="AE25" t="s">
        <v>429</v>
      </c>
      <c r="AF25" t="b">
        <v>0</v>
      </c>
      <c r="AG25" t="s">
        <v>283</v>
      </c>
      <c r="AH25" t="s">
        <v>427</v>
      </c>
      <c r="AI25">
        <v>85</v>
      </c>
      <c r="AJ25" t="s">
        <v>430</v>
      </c>
      <c r="AK25" t="b">
        <v>1</v>
      </c>
      <c r="AL25" t="s">
        <v>427</v>
      </c>
      <c r="AM25" t="s">
        <v>431</v>
      </c>
      <c r="AN25" t="s">
        <v>432</v>
      </c>
      <c r="AQ25" t="b">
        <f>AND(Legacy_Data[[#This Row],[first_name]]=Legacy_Data[[#This Row],[owner1FirstName]],Legacy_Data[[#This Row],[last_name]]=Legacy_Data[[#This Row],[owner1LastName]])</f>
        <v>0</v>
      </c>
    </row>
    <row r="26" spans="3:47" x14ac:dyDescent="0.35">
      <c r="C26">
        <v>207956238</v>
      </c>
      <c r="D26" t="s">
        <v>126</v>
      </c>
      <c r="E26" t="s">
        <v>161</v>
      </c>
      <c r="F26" t="s">
        <v>75</v>
      </c>
      <c r="G26" t="s">
        <v>162</v>
      </c>
      <c r="H26" t="s">
        <v>114</v>
      </c>
      <c r="I26" t="s">
        <v>171</v>
      </c>
      <c r="J26" t="s">
        <v>72</v>
      </c>
      <c r="K26" t="s">
        <v>194</v>
      </c>
      <c r="L26" t="s">
        <v>228</v>
      </c>
      <c r="M26" t="s">
        <v>433</v>
      </c>
      <c r="N26" t="s">
        <v>434</v>
      </c>
      <c r="O26" t="s">
        <v>435</v>
      </c>
      <c r="P26" t="s">
        <v>436</v>
      </c>
      <c r="S26" t="s">
        <v>437</v>
      </c>
      <c r="T26" t="s">
        <v>438</v>
      </c>
      <c r="U26" t="s">
        <v>439</v>
      </c>
      <c r="X26">
        <v>1810222974</v>
      </c>
      <c r="Y26" t="b">
        <v>0</v>
      </c>
      <c r="Z26" t="s">
        <v>440</v>
      </c>
      <c r="AA26" t="s">
        <v>441</v>
      </c>
      <c r="AB26" t="s">
        <v>104</v>
      </c>
      <c r="AC26" t="s">
        <v>442</v>
      </c>
      <c r="AD26" t="s">
        <v>281</v>
      </c>
      <c r="AE26" t="s">
        <v>282</v>
      </c>
      <c r="AF26" t="b">
        <v>0</v>
      </c>
      <c r="AG26" t="s">
        <v>283</v>
      </c>
      <c r="AH26" t="s">
        <v>442</v>
      </c>
      <c r="AJ26" t="s">
        <v>284</v>
      </c>
      <c r="AK26" t="b">
        <v>1</v>
      </c>
      <c r="AL26" t="s">
        <v>442</v>
      </c>
      <c r="AQ26" t="b">
        <f>AND(Legacy_Data[[#This Row],[first_name]]=Legacy_Data[[#This Row],[owner1FirstName]],Legacy_Data[[#This Row],[last_name]]=Legacy_Data[[#This Row],[owner1LastName]])</f>
        <v>1</v>
      </c>
    </row>
    <row r="27" spans="3:47" hidden="1" x14ac:dyDescent="0.35">
      <c r="C27">
        <v>207948293</v>
      </c>
      <c r="D27" t="s">
        <v>74</v>
      </c>
      <c r="E27" t="s">
        <v>88</v>
      </c>
      <c r="G27" t="s">
        <v>121</v>
      </c>
      <c r="H27" t="s">
        <v>122</v>
      </c>
      <c r="I27" t="s">
        <v>171</v>
      </c>
      <c r="J27" t="s">
        <v>72</v>
      </c>
      <c r="K27" t="s">
        <v>178</v>
      </c>
      <c r="L27" t="s">
        <v>229</v>
      </c>
      <c r="M27" t="s">
        <v>443</v>
      </c>
      <c r="P27" t="s">
        <v>444</v>
      </c>
      <c r="Q27" t="s">
        <v>445</v>
      </c>
      <c r="R27" t="s">
        <v>446</v>
      </c>
      <c r="S27" t="s">
        <v>447</v>
      </c>
      <c r="T27" t="s">
        <v>448</v>
      </c>
      <c r="U27" t="s">
        <v>449</v>
      </c>
      <c r="AM27" t="s">
        <v>450</v>
      </c>
      <c r="AN27" t="s">
        <v>451</v>
      </c>
      <c r="AQ27" t="b">
        <f>AND(Legacy_Data[[#This Row],[first_name]]=Legacy_Data[[#This Row],[owner1FirstName]],Legacy_Data[[#This Row],[last_name]]=Legacy_Data[[#This Row],[owner1LastName]])</f>
        <v>0</v>
      </c>
    </row>
    <row r="28" spans="3:47" x14ac:dyDescent="0.35">
      <c r="C28">
        <v>207943220</v>
      </c>
      <c r="D28" t="s">
        <v>76</v>
      </c>
      <c r="E28" t="s">
        <v>123</v>
      </c>
      <c r="G28" t="s">
        <v>124</v>
      </c>
      <c r="H28" t="s">
        <v>117</v>
      </c>
      <c r="I28" t="s">
        <v>171</v>
      </c>
      <c r="J28" t="s">
        <v>72</v>
      </c>
      <c r="K28" t="s">
        <v>179</v>
      </c>
      <c r="L28" t="s">
        <v>230</v>
      </c>
      <c r="M28" t="s">
        <v>452</v>
      </c>
      <c r="N28" t="s">
        <v>453</v>
      </c>
      <c r="O28" t="s">
        <v>288</v>
      </c>
      <c r="P28" t="s">
        <v>454</v>
      </c>
      <c r="S28" t="s">
        <v>455</v>
      </c>
      <c r="T28" t="s">
        <v>456</v>
      </c>
      <c r="U28" t="s">
        <v>457</v>
      </c>
      <c r="V28" t="s">
        <v>458</v>
      </c>
      <c r="W28" t="s">
        <v>276</v>
      </c>
      <c r="X28">
        <v>1804770204</v>
      </c>
      <c r="Y28" t="b">
        <v>0</v>
      </c>
      <c r="Z28" t="s">
        <v>459</v>
      </c>
      <c r="AA28" t="s">
        <v>460</v>
      </c>
      <c r="AB28" t="s">
        <v>214</v>
      </c>
      <c r="AC28" t="s">
        <v>461</v>
      </c>
      <c r="AD28" t="s">
        <v>281</v>
      </c>
      <c r="AE28" t="s">
        <v>282</v>
      </c>
      <c r="AF28" t="b">
        <v>0</v>
      </c>
      <c r="AG28" t="s">
        <v>283</v>
      </c>
      <c r="AH28" t="s">
        <v>462</v>
      </c>
      <c r="AI28">
        <v>366</v>
      </c>
      <c r="AJ28" t="s">
        <v>284</v>
      </c>
      <c r="AK28" t="b">
        <v>1</v>
      </c>
      <c r="AL28" t="s">
        <v>461</v>
      </c>
      <c r="AO28" t="s">
        <v>463</v>
      </c>
      <c r="AP28" t="s">
        <v>464</v>
      </c>
      <c r="AQ28" t="b">
        <f>AND(Legacy_Data[[#This Row],[first_name]]=Legacy_Data[[#This Row],[owner1FirstName]],Legacy_Data[[#This Row],[last_name]]=Legacy_Data[[#This Row],[owner1LastName]])</f>
        <v>1</v>
      </c>
    </row>
    <row r="29" spans="3:47" hidden="1" x14ac:dyDescent="0.35">
      <c r="C29">
        <v>207938857</v>
      </c>
      <c r="D29" t="s">
        <v>163</v>
      </c>
      <c r="E29" t="s">
        <v>164</v>
      </c>
      <c r="F29" t="s">
        <v>94</v>
      </c>
      <c r="G29" t="s">
        <v>165</v>
      </c>
      <c r="H29" t="s">
        <v>114</v>
      </c>
      <c r="I29" t="s">
        <v>171</v>
      </c>
      <c r="J29" t="s">
        <v>72</v>
      </c>
      <c r="K29" t="s">
        <v>195</v>
      </c>
      <c r="L29" t="s">
        <v>231</v>
      </c>
      <c r="M29" t="s">
        <v>465</v>
      </c>
      <c r="P29" t="s">
        <v>466</v>
      </c>
      <c r="Q29" t="s">
        <v>467</v>
      </c>
      <c r="R29" t="s">
        <v>288</v>
      </c>
      <c r="S29" t="s">
        <v>468</v>
      </c>
      <c r="AM29" t="s">
        <v>469</v>
      </c>
      <c r="AN29" t="s">
        <v>470</v>
      </c>
      <c r="AQ29" t="b">
        <f>AND(Legacy_Data[[#This Row],[first_name]]=Legacy_Data[[#This Row],[owner1FirstName]],Legacy_Data[[#This Row],[last_name]]=Legacy_Data[[#This Row],[owner1LastName]])</f>
        <v>0</v>
      </c>
    </row>
    <row r="30" spans="3:47" hidden="1" x14ac:dyDescent="0.35">
      <c r="C30">
        <v>207932769</v>
      </c>
      <c r="D30" t="s">
        <v>76</v>
      </c>
      <c r="E30" t="s">
        <v>108</v>
      </c>
      <c r="G30" t="s">
        <v>120</v>
      </c>
      <c r="H30" t="s">
        <v>117</v>
      </c>
      <c r="I30" t="s">
        <v>171</v>
      </c>
      <c r="J30" t="s">
        <v>72</v>
      </c>
      <c r="K30" t="s">
        <v>196</v>
      </c>
      <c r="L30" t="s">
        <v>227</v>
      </c>
      <c r="M30" t="s">
        <v>420</v>
      </c>
      <c r="P30" t="s">
        <v>421</v>
      </c>
      <c r="Q30" t="s">
        <v>422</v>
      </c>
      <c r="R30" t="s">
        <v>288</v>
      </c>
      <c r="S30" t="s">
        <v>423</v>
      </c>
      <c r="T30" t="s">
        <v>424</v>
      </c>
      <c r="U30" t="s">
        <v>288</v>
      </c>
      <c r="V30" t="s">
        <v>425</v>
      </c>
      <c r="W30" t="s">
        <v>426</v>
      </c>
      <c r="X30">
        <v>1857708137</v>
      </c>
      <c r="Y30" t="b">
        <v>1</v>
      </c>
      <c r="Z30" t="s">
        <v>427</v>
      </c>
      <c r="AC30" t="s">
        <v>427</v>
      </c>
      <c r="AD30" t="s">
        <v>428</v>
      </c>
      <c r="AE30" t="s">
        <v>429</v>
      </c>
      <c r="AF30" t="b">
        <v>0</v>
      </c>
      <c r="AG30" t="s">
        <v>283</v>
      </c>
      <c r="AH30" t="s">
        <v>427</v>
      </c>
      <c r="AI30">
        <v>85</v>
      </c>
      <c r="AJ30" t="s">
        <v>430</v>
      </c>
      <c r="AK30" t="b">
        <v>1</v>
      </c>
      <c r="AL30" t="s">
        <v>427</v>
      </c>
      <c r="AM30" t="s">
        <v>431</v>
      </c>
      <c r="AN30" t="s">
        <v>432</v>
      </c>
      <c r="AQ30" t="b">
        <f>AND(Legacy_Data[[#This Row],[first_name]]=Legacy_Data[[#This Row],[owner1FirstName]],Legacy_Data[[#This Row],[last_name]]=Legacy_Data[[#This Row],[owner1LastName]])</f>
        <v>0</v>
      </c>
    </row>
    <row r="31" spans="3:47" x14ac:dyDescent="0.35">
      <c r="C31">
        <v>207934921</v>
      </c>
      <c r="D31" t="s">
        <v>74</v>
      </c>
      <c r="E31" t="s">
        <v>88</v>
      </c>
      <c r="F31" t="s">
        <v>81</v>
      </c>
      <c r="G31" t="s">
        <v>89</v>
      </c>
      <c r="H31" t="s">
        <v>15</v>
      </c>
      <c r="I31" t="s">
        <v>171</v>
      </c>
      <c r="J31" t="s">
        <v>72</v>
      </c>
      <c r="K31" t="s">
        <v>173</v>
      </c>
      <c r="L31" t="s">
        <v>232</v>
      </c>
      <c r="M31" t="s">
        <v>471</v>
      </c>
      <c r="N31" t="s">
        <v>472</v>
      </c>
      <c r="O31" t="s">
        <v>473</v>
      </c>
      <c r="P31" t="s">
        <v>474</v>
      </c>
      <c r="Q31" t="s">
        <v>475</v>
      </c>
      <c r="R31" t="s">
        <v>476</v>
      </c>
      <c r="S31" t="s">
        <v>477</v>
      </c>
      <c r="T31" t="s">
        <v>478</v>
      </c>
      <c r="U31" t="s">
        <v>479</v>
      </c>
      <c r="V31" t="s">
        <v>480</v>
      </c>
      <c r="W31" t="s">
        <v>481</v>
      </c>
      <c r="X31">
        <v>1809092719</v>
      </c>
      <c r="Y31" t="b">
        <v>0</v>
      </c>
      <c r="Z31" t="s">
        <v>482</v>
      </c>
      <c r="AA31" t="s">
        <v>415</v>
      </c>
      <c r="AB31" t="s">
        <v>103</v>
      </c>
      <c r="AC31" t="s">
        <v>483</v>
      </c>
      <c r="AD31" t="s">
        <v>281</v>
      </c>
      <c r="AE31" t="s">
        <v>282</v>
      </c>
      <c r="AF31" t="b">
        <v>0</v>
      </c>
      <c r="AG31" t="s">
        <v>283</v>
      </c>
      <c r="AH31" t="s">
        <v>484</v>
      </c>
      <c r="AI31">
        <v>150</v>
      </c>
      <c r="AJ31" t="s">
        <v>284</v>
      </c>
      <c r="AK31" t="b">
        <v>1</v>
      </c>
      <c r="AL31" t="s">
        <v>483</v>
      </c>
      <c r="AM31" t="s">
        <v>485</v>
      </c>
      <c r="AN31" t="s">
        <v>276</v>
      </c>
      <c r="AO31" t="s">
        <v>486</v>
      </c>
      <c r="AP31" t="s">
        <v>356</v>
      </c>
      <c r="AQ31" t="b">
        <f>AND(Legacy_Data[[#This Row],[first_name]]=Legacy_Data[[#This Row],[owner1FirstName]],Legacy_Data[[#This Row],[last_name]]=Legacy_Data[[#This Row],[owner1LastName]])</f>
        <v>1</v>
      </c>
    </row>
    <row r="32" spans="3:47" hidden="1" x14ac:dyDescent="0.35">
      <c r="C32">
        <v>207922886</v>
      </c>
      <c r="D32" t="s">
        <v>77</v>
      </c>
      <c r="E32" t="s">
        <v>127</v>
      </c>
      <c r="G32" t="s">
        <v>128</v>
      </c>
      <c r="H32" t="s">
        <v>122</v>
      </c>
      <c r="I32" t="s">
        <v>171</v>
      </c>
      <c r="J32" t="s">
        <v>72</v>
      </c>
      <c r="K32" t="s">
        <v>180</v>
      </c>
      <c r="L32" t="s">
        <v>233</v>
      </c>
      <c r="M32" t="s">
        <v>487</v>
      </c>
      <c r="N32" t="s">
        <v>488</v>
      </c>
      <c r="O32" t="s">
        <v>489</v>
      </c>
      <c r="P32" t="s">
        <v>490</v>
      </c>
      <c r="Q32" t="s">
        <v>491</v>
      </c>
      <c r="R32" t="s">
        <v>492</v>
      </c>
      <c r="S32" t="s">
        <v>493</v>
      </c>
      <c r="T32" t="s">
        <v>494</v>
      </c>
      <c r="U32" t="s">
        <v>495</v>
      </c>
      <c r="V32" t="s">
        <v>496</v>
      </c>
      <c r="W32" t="s">
        <v>497</v>
      </c>
      <c r="AM32" t="s">
        <v>498</v>
      </c>
      <c r="AN32" t="s">
        <v>499</v>
      </c>
      <c r="AO32" t="s">
        <v>500</v>
      </c>
      <c r="AP32" t="s">
        <v>501</v>
      </c>
      <c r="AQ32" t="b">
        <f>AND(Legacy_Data[[#This Row],[first_name]]=Legacy_Data[[#This Row],[owner1FirstName]],Legacy_Data[[#This Row],[last_name]]=Legacy_Data[[#This Row],[owner1LastName]])</f>
        <v>0</v>
      </c>
    </row>
    <row r="33" spans="3:47" hidden="1" x14ac:dyDescent="0.35">
      <c r="C33">
        <v>207922885</v>
      </c>
      <c r="D33" t="s">
        <v>93</v>
      </c>
      <c r="E33" t="s">
        <v>129</v>
      </c>
      <c r="G33" t="s">
        <v>130</v>
      </c>
      <c r="H33" t="s">
        <v>117</v>
      </c>
      <c r="I33" t="s">
        <v>171</v>
      </c>
      <c r="J33" t="s">
        <v>72</v>
      </c>
      <c r="K33" t="s">
        <v>181</v>
      </c>
      <c r="L33" t="s">
        <v>12</v>
      </c>
      <c r="AQ33" t="b">
        <f>AND(Legacy_Data[[#This Row],[first_name]]=Legacy_Data[[#This Row],[owner1FirstName]],Legacy_Data[[#This Row],[last_name]]=Legacy_Data[[#This Row],[owner1LastName]])</f>
        <v>0</v>
      </c>
    </row>
    <row r="34" spans="3:47" hidden="1" x14ac:dyDescent="0.35">
      <c r="C34">
        <v>207920887</v>
      </c>
      <c r="D34" t="s">
        <v>131</v>
      </c>
      <c r="E34" t="s">
        <v>166</v>
      </c>
      <c r="F34" t="s">
        <v>84</v>
      </c>
      <c r="G34" t="s">
        <v>167</v>
      </c>
      <c r="H34" t="s">
        <v>168</v>
      </c>
      <c r="I34" t="s">
        <v>171</v>
      </c>
      <c r="J34" t="s">
        <v>72</v>
      </c>
      <c r="K34" t="s">
        <v>197</v>
      </c>
      <c r="L34" t="s">
        <v>234</v>
      </c>
      <c r="M34" t="s">
        <v>502</v>
      </c>
      <c r="N34" t="s">
        <v>503</v>
      </c>
      <c r="O34" t="s">
        <v>288</v>
      </c>
      <c r="P34" t="s">
        <v>504</v>
      </c>
      <c r="Q34" t="s">
        <v>505</v>
      </c>
      <c r="R34" t="s">
        <v>506</v>
      </c>
      <c r="S34" t="s">
        <v>507</v>
      </c>
      <c r="T34" t="s">
        <v>508</v>
      </c>
      <c r="U34" t="s">
        <v>288</v>
      </c>
      <c r="AF34" t="b">
        <v>0</v>
      </c>
      <c r="AK34" t="b">
        <v>0</v>
      </c>
      <c r="AQ34" t="b">
        <f>AND(Legacy_Data[[#This Row],[first_name]]=Legacy_Data[[#This Row],[owner1FirstName]],Legacy_Data[[#This Row],[last_name]]=Legacy_Data[[#This Row],[owner1LastName]])</f>
        <v>0</v>
      </c>
    </row>
    <row r="35" spans="3:47" x14ac:dyDescent="0.35">
      <c r="C35">
        <v>207912696</v>
      </c>
      <c r="D35" t="s">
        <v>83</v>
      </c>
      <c r="E35" t="s">
        <v>98</v>
      </c>
      <c r="F35" t="s">
        <v>152</v>
      </c>
      <c r="G35" t="s">
        <v>169</v>
      </c>
      <c r="H35" t="s">
        <v>114</v>
      </c>
      <c r="I35" t="s">
        <v>171</v>
      </c>
      <c r="J35" t="s">
        <v>72</v>
      </c>
      <c r="K35" t="s">
        <v>198</v>
      </c>
      <c r="L35" t="s">
        <v>235</v>
      </c>
      <c r="M35" t="s">
        <v>509</v>
      </c>
      <c r="N35" t="s">
        <v>510</v>
      </c>
      <c r="O35" t="s">
        <v>511</v>
      </c>
      <c r="P35" t="s">
        <v>512</v>
      </c>
      <c r="Q35" t="s">
        <v>513</v>
      </c>
      <c r="R35" t="s">
        <v>514</v>
      </c>
      <c r="S35" t="s">
        <v>515</v>
      </c>
      <c r="T35" t="s">
        <v>516</v>
      </c>
      <c r="U35" t="s">
        <v>276</v>
      </c>
      <c r="X35">
        <v>1810215619</v>
      </c>
      <c r="Y35" t="b">
        <v>0</v>
      </c>
      <c r="Z35" t="s">
        <v>517</v>
      </c>
      <c r="AA35" t="s">
        <v>518</v>
      </c>
      <c r="AB35" t="s">
        <v>152</v>
      </c>
      <c r="AC35" t="s">
        <v>519</v>
      </c>
      <c r="AD35" t="s">
        <v>281</v>
      </c>
      <c r="AE35" t="s">
        <v>282</v>
      </c>
      <c r="AF35" t="b">
        <v>0</v>
      </c>
      <c r="AG35" t="s">
        <v>283</v>
      </c>
      <c r="AH35" t="s">
        <v>520</v>
      </c>
      <c r="AI35">
        <v>319</v>
      </c>
      <c r="AJ35" t="s">
        <v>284</v>
      </c>
      <c r="AK35" t="b">
        <v>1</v>
      </c>
      <c r="AL35" t="s">
        <v>519</v>
      </c>
      <c r="AM35" t="s">
        <v>521</v>
      </c>
      <c r="AN35" t="s">
        <v>522</v>
      </c>
      <c r="AO35" t="s">
        <v>523</v>
      </c>
      <c r="AP35" t="s">
        <v>524</v>
      </c>
      <c r="AQ35" t="b">
        <f>AND(Legacy_Data[[#This Row],[first_name]]=Legacy_Data[[#This Row],[owner1FirstName]],Legacy_Data[[#This Row],[last_name]]=Legacy_Data[[#This Row],[owner1LastName]])</f>
        <v>1</v>
      </c>
    </row>
    <row r="44" spans="3:47" x14ac:dyDescent="0.35">
      <c r="AR44" s="6"/>
      <c r="AS44" s="6"/>
      <c r="AT44" s="6"/>
      <c r="AU44" s="6"/>
    </row>
    <row r="55" spans="44:47" x14ac:dyDescent="0.35">
      <c r="AR55" s="6"/>
      <c r="AS55" s="6"/>
      <c r="AT55" s="6"/>
      <c r="AU55" s="6"/>
    </row>
    <row r="64" spans="44:47" x14ac:dyDescent="0.35">
      <c r="AR64" s="6"/>
      <c r="AS64" s="6"/>
      <c r="AT64" s="6"/>
      <c r="AU64" s="6"/>
    </row>
    <row r="85" spans="44:47" x14ac:dyDescent="0.35">
      <c r="AR85" s="6"/>
      <c r="AS85" s="6"/>
      <c r="AT85" s="6"/>
      <c r="AU85" s="6"/>
    </row>
  </sheetData>
  <autoFilter ref="AR4:AX394" xr:uid="{BD2CEA87-7AFC-403E-A35B-6304803B1253}"/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78EFEE-41C8-41F5-A416-F12A0D0DFA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Settings</vt:lpstr>
      <vt:lpstr>Daily Data From Courts Website</vt:lpstr>
      <vt:lpstr>Legacy Website Data</vt:lpstr>
      <vt:lpstr>LegacyDataFolderPath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2024-11-16T03:57:56Z</dcterms:modified>
</cp:coreProperties>
</file>